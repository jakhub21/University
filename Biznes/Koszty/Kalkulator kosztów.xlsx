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bertjakubiak/Desktop/Studia/Biznes/Koszty/"/>
    </mc:Choice>
  </mc:AlternateContent>
  <xr:revisionPtr revIDLastSave="0" documentId="13_ncr:1_{CF0786F7-0417-8D49-8554-B4AF99B4837B}" xr6:coauthVersionLast="47" xr6:coauthVersionMax="47" xr10:uidLastSave="{00000000-0000-0000-0000-000000000000}"/>
  <bookViews>
    <workbookView xWindow="0" yWindow="0" windowWidth="28800" windowHeight="18000" activeTab="1" xr2:uid="{74123F97-36D8-AF48-BCCE-C459D69C3E24}"/>
  </bookViews>
  <sheets>
    <sheet name="Arkusz1" sheetId="1" r:id="rId1"/>
    <sheet name="Arkusz2" sheetId="2" r:id="rId2"/>
    <sheet name="Arkusz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3" l="1"/>
  <c r="E23" i="3"/>
  <c r="D23" i="3"/>
  <c r="E21" i="3"/>
  <c r="G20" i="3"/>
  <c r="F20" i="3"/>
  <c r="E20" i="3"/>
  <c r="D20" i="3"/>
  <c r="H20" i="3" s="1"/>
  <c r="G19" i="3"/>
  <c r="F18" i="3"/>
  <c r="E18" i="3"/>
  <c r="D18" i="3"/>
  <c r="F14" i="3"/>
  <c r="F13" i="3"/>
  <c r="F12" i="3"/>
  <c r="F11" i="3"/>
  <c r="G23" i="3" s="1"/>
  <c r="F10" i="3"/>
  <c r="G22" i="3" s="1"/>
  <c r="F9" i="3"/>
  <c r="D21" i="3" s="1"/>
  <c r="F3" i="2"/>
  <c r="B8" i="2" s="1"/>
  <c r="B13" i="2" s="1"/>
  <c r="D4" i="2"/>
  <c r="D5" i="2"/>
  <c r="D6" i="2"/>
  <c r="D3" i="2"/>
  <c r="C32" i="1"/>
  <c r="B32" i="1"/>
  <c r="E21" i="1"/>
  <c r="E22" i="1"/>
  <c r="E23" i="1"/>
  <c r="E24" i="1"/>
  <c r="E25" i="1"/>
  <c r="E26" i="1"/>
  <c r="E32" i="1" s="1"/>
  <c r="E27" i="1"/>
  <c r="E28" i="1"/>
  <c r="E29" i="1"/>
  <c r="E30" i="1"/>
  <c r="E31" i="1"/>
  <c r="E20" i="1"/>
  <c r="D21" i="1"/>
  <c r="D22" i="1"/>
  <c r="D23" i="1"/>
  <c r="D24" i="1"/>
  <c r="D25" i="1"/>
  <c r="D26" i="1"/>
  <c r="D27" i="1"/>
  <c r="D28" i="1"/>
  <c r="D29" i="1"/>
  <c r="D30" i="1"/>
  <c r="D31" i="1"/>
  <c r="D20" i="1"/>
  <c r="D32" i="1" s="1"/>
  <c r="H19" i="1" s="1"/>
  <c r="M10" i="1"/>
  <c r="M9" i="1"/>
  <c r="I10" i="1"/>
  <c r="I9" i="1"/>
  <c r="F4" i="1"/>
  <c r="F1" i="1"/>
  <c r="F2" i="1" s="1"/>
  <c r="H23" i="3" l="1"/>
  <c r="F21" i="3"/>
  <c r="H21" i="3" s="1"/>
  <c r="G21" i="3"/>
  <c r="G18" i="3"/>
  <c r="G24" i="3" s="1"/>
  <c r="E27" i="3" s="1"/>
  <c r="D22" i="3"/>
  <c r="E19" i="3"/>
  <c r="F22" i="3"/>
  <c r="D19" i="3"/>
  <c r="E22" i="3"/>
  <c r="E24" i="3" s="1"/>
  <c r="F19" i="3"/>
  <c r="F24" i="3" s="1"/>
  <c r="H20" i="1"/>
  <c r="B11" i="2"/>
  <c r="B16" i="2" s="1"/>
  <c r="Q1" i="1"/>
  <c r="Q2" i="1" s="1"/>
  <c r="B10" i="2"/>
  <c r="B15" i="2" s="1"/>
  <c r="B9" i="2"/>
  <c r="B14" i="2" s="1"/>
  <c r="B17" i="2" s="1"/>
  <c r="B19" i="2" s="1"/>
  <c r="C27" i="3" l="1"/>
  <c r="C28" i="3"/>
  <c r="C29" i="3" s="1"/>
  <c r="H22" i="3"/>
  <c r="D27" i="3"/>
  <c r="D28" i="3"/>
  <c r="D29" i="3" s="1"/>
  <c r="H19" i="3"/>
  <c r="D24" i="3"/>
  <c r="H18" i="3"/>
  <c r="B23" i="2"/>
  <c r="B22" i="2"/>
  <c r="B21" i="2"/>
  <c r="B24" i="2"/>
  <c r="Q3" i="1"/>
  <c r="B28" i="3" l="1"/>
  <c r="B29" i="3" s="1"/>
  <c r="H24" i="3"/>
  <c r="B27" i="3"/>
  <c r="D32" i="3" l="1"/>
  <c r="C32" i="3"/>
  <c r="B32" i="3"/>
</calcChain>
</file>

<file path=xl/sharedStrings.xml><?xml version="1.0" encoding="utf-8"?>
<sst xmlns="http://schemas.openxmlformats.org/spreadsheetml/2006/main" count="139" uniqueCount="88">
  <si>
    <t>Miesiąc</t>
  </si>
  <si>
    <r>
      <t xml:space="preserve">Koszty </t>
    </r>
    <r>
      <rPr>
        <b/>
        <i/>
        <sz val="10"/>
        <color theme="1"/>
        <rFont val="Times New Roman"/>
        <family val="1"/>
      </rPr>
      <t>(K)</t>
    </r>
  </si>
  <si>
    <r>
      <t xml:space="preserve">Produkcja </t>
    </r>
    <r>
      <rPr>
        <b/>
        <i/>
        <sz val="10"/>
        <color theme="1"/>
        <rFont val="Times New Roman"/>
        <family val="1"/>
      </rPr>
      <t>(P)</t>
    </r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</si>
  <si>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</si>
  <si>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</si>
  <si>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</si>
  <si>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</si>
  <si>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</si>
  <si>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</si>
  <si>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</si>
  <si>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</si>
  <si>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</si>
  <si>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</si>
  <si>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</si>
  <si>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</si>
  <si>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kz</t>
  </si>
  <si>
    <t>KS</t>
  </si>
  <si>
    <t>mediana</t>
  </si>
  <si>
    <t>srednia K</t>
  </si>
  <si>
    <t>srednia p</t>
  </si>
  <si>
    <t>ksmax</t>
  </si>
  <si>
    <t>ksmin</t>
  </si>
  <si>
    <t>P*K</t>
  </si>
  <si>
    <t>P**2</t>
  </si>
  <si>
    <t>srednie</t>
  </si>
  <si>
    <t>A</t>
  </si>
  <si>
    <t>B</t>
  </si>
  <si>
    <t>C</t>
  </si>
  <si>
    <t>D</t>
  </si>
  <si>
    <t>miski</t>
  </si>
  <si>
    <t>1 miska gram</t>
  </si>
  <si>
    <t>gramy</t>
  </si>
  <si>
    <t>WA</t>
  </si>
  <si>
    <t>WB</t>
  </si>
  <si>
    <t>WC</t>
  </si>
  <si>
    <t>WD</t>
  </si>
  <si>
    <t>NWD</t>
  </si>
  <si>
    <t>QuA</t>
  </si>
  <si>
    <t>QuB</t>
  </si>
  <si>
    <t>QuC</t>
  </si>
  <si>
    <t>QuD</t>
  </si>
  <si>
    <t>suma</t>
  </si>
  <si>
    <t>kju</t>
  </si>
  <si>
    <t xml:space="preserve">koszt </t>
  </si>
  <si>
    <t>kjA</t>
  </si>
  <si>
    <t>kjB</t>
  </si>
  <si>
    <t>kjC</t>
  </si>
  <si>
    <t>kjD</t>
  </si>
  <si>
    <t>w1</t>
  </si>
  <si>
    <t>w2</t>
  </si>
  <si>
    <t>w3</t>
  </si>
  <si>
    <t>Podstawa alokacji</t>
  </si>
  <si>
    <t>Pracochłonność (h)</t>
  </si>
  <si>
    <t>Koszt</t>
  </si>
  <si>
    <t>Wyrób</t>
  </si>
  <si>
    <t>Wydział 1</t>
  </si>
  <si>
    <t>Wydział 2</t>
  </si>
  <si>
    <t>Wydział 3</t>
  </si>
  <si>
    <t>podstawowy</t>
  </si>
  <si>
    <t>Wydziały</t>
  </si>
  <si>
    <t>W-1</t>
  </si>
  <si>
    <t>W-2</t>
  </si>
  <si>
    <t>W-3</t>
  </si>
  <si>
    <t>Magazyn</t>
  </si>
  <si>
    <t>Razem</t>
  </si>
  <si>
    <t>Zatrudnienie (os.)</t>
  </si>
  <si>
    <r>
      <t>Powierzchnia (m</t>
    </r>
    <r>
      <rPr>
        <vertAlign val="super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)</t>
    </r>
  </si>
  <si>
    <t>Kubatura</t>
  </si>
  <si>
    <t>Wartość wydań z magazynu (zł)</t>
  </si>
  <si>
    <t>Liczba wydań z magazynu</t>
  </si>
  <si>
    <t>Liczba przepracowanych godzin</t>
  </si>
  <si>
    <t>Koszty ogólne</t>
  </si>
  <si>
    <t>(zł)</t>
  </si>
  <si>
    <t>mag</t>
  </si>
  <si>
    <t>Czynsz</t>
  </si>
  <si>
    <t>Wynagrodz. menedżera</t>
  </si>
  <si>
    <t>Płaca magazyniera</t>
  </si>
  <si>
    <t>Administracja</t>
  </si>
  <si>
    <t>Energia</t>
  </si>
  <si>
    <t>Ogrzewanie</t>
  </si>
  <si>
    <t>W 1</t>
  </si>
  <si>
    <t>W2</t>
  </si>
  <si>
    <t>W3</t>
  </si>
  <si>
    <t>Mag</t>
  </si>
  <si>
    <t>Suma narzutów na ośrodki kosztów:</t>
  </si>
  <si>
    <t>Suma narzutów na produkcyjne ośrodki kosztów:</t>
  </si>
  <si>
    <t>Współczynniki absorpcji kosztów</t>
  </si>
  <si>
    <t>Koszt całkowity produktów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</si>
</sst>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zł&quot;_);[Red]\(#,##0.00\ &quot;zł&quot;\)"/>
  </numFmts>
  <fonts count="7" x14ac:knownFonts="1">
    <font>
      <sz val="12"/>
      <color theme="1"/>
      <name val="Calibri"/>
      <family val="2"/>
      <charset val="238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sz val="12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8" fontId="0" fillId="0" borderId="0" xfId="0" applyNumberFormat="1"/>
    <xf numFmtId="8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8" fontId="0" fillId="0" borderId="9" xfId="0" applyNumberFormat="1" applyBorder="1"/>
    <xf numFmtId="0" fontId="0" fillId="0" borderId="10" xfId="0" applyBorder="1"/>
    <xf numFmtId="8" fontId="0" fillId="0" borderId="11" xfId="0" applyNumberFormat="1" applyBorder="1"/>
    <xf numFmtId="0" fontId="0" fillId="0" borderId="12" xfId="0" applyBorder="1"/>
    <xf numFmtId="0" fontId="1" fillId="0" borderId="13" xfId="0" applyFont="1" applyBorder="1" applyAlignment="1">
      <alignment horizontal="center" vertical="center"/>
    </xf>
    <xf numFmtId="0" fontId="0" fillId="0" borderId="14" xfId="0" applyBorder="1"/>
    <xf numFmtId="0" fontId="2" fillId="0" borderId="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right" vertical="center" wrapText="1"/>
    </xf>
    <xf numFmtId="3" fontId="4" fillId="0" borderId="4" xfId="0" applyNumberFormat="1" applyFont="1" applyBorder="1" applyAlignment="1">
      <alignment horizontal="right" vertical="center" wrapText="1"/>
    </xf>
    <xf numFmtId="0" fontId="4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3" fontId="6" fillId="0" borderId="4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2" borderId="18" xfId="0" applyFont="1" applyFill="1" applyBorder="1" applyAlignment="1">
      <alignment horizontal="right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A8E28-4C89-7546-B319-6582DE41D05A}">
  <dimension ref="A1:Q32"/>
  <sheetViews>
    <sheetView workbookViewId="0">
      <selection activeCell="G21" sqref="G21"/>
    </sheetView>
  </sheetViews>
  <sheetFormatPr baseColWidth="10" defaultRowHeight="16" x14ac:dyDescent="0.2"/>
  <cols>
    <col min="2" max="2" width="11.5" bestFit="1" customWidth="1"/>
    <col min="4" max="4" width="15" bestFit="1" customWidth="1"/>
    <col min="6" max="6" width="11.5" bestFit="1" customWidth="1"/>
    <col min="8" max="8" width="13.33203125" customWidth="1"/>
    <col min="9" max="9" width="12.33203125" customWidth="1"/>
    <col min="13" max="13" width="11.5" bestFit="1" customWidth="1"/>
    <col min="17" max="17" width="11.5" bestFit="1" customWidth="1"/>
  </cols>
  <sheetData>
    <row r="1" spans="1:17" ht="17" thickBot="1" x14ac:dyDescent="0.25">
      <c r="A1" s="1" t="s">
        <v>0</v>
      </c>
      <c r="B1" s="2" t="s">
        <v>1</v>
      </c>
      <c r="C1" s="2" t="s">
        <v>2</v>
      </c>
      <c r="E1" s="7" t="s">
        <v>15</v>
      </c>
      <c r="F1" s="4">
        <f>(MAX(B2:B13)-MIN(B2:B13))/(MAX(C2:C13)-MIN(C2:C13))</f>
        <v>10</v>
      </c>
      <c r="H1" s="1" t="s">
        <v>0</v>
      </c>
      <c r="I1" s="2" t="s">
        <v>1</v>
      </c>
      <c r="J1" s="2" t="s">
        <v>2</v>
      </c>
      <c r="L1" s="1" t="s">
        <v>0</v>
      </c>
      <c r="M1" s="2" t="s">
        <v>1</v>
      </c>
      <c r="N1" s="2" t="s">
        <v>2</v>
      </c>
      <c r="P1" s="7" t="s">
        <v>15</v>
      </c>
      <c r="Q1" s="4">
        <f>(I9-M9)/(I10-M10)</f>
        <v>9.9999999999999929</v>
      </c>
    </row>
    <row r="2" spans="1:17" ht="17" thickBot="1" x14ac:dyDescent="0.25">
      <c r="A2" s="3" t="s">
        <v>3</v>
      </c>
      <c r="B2" s="5">
        <v>19000</v>
      </c>
      <c r="C2" s="6">
        <v>900</v>
      </c>
      <c r="E2" t="s">
        <v>16</v>
      </c>
      <c r="F2" s="4">
        <f>AVERAGE(B2:B13)-F1*AVERAGE(C2:C13)</f>
        <v>10000</v>
      </c>
      <c r="H2" s="3" t="s">
        <v>9</v>
      </c>
      <c r="I2" s="5">
        <v>22000</v>
      </c>
      <c r="J2" s="6">
        <v>1200</v>
      </c>
      <c r="L2" s="3" t="s">
        <v>4</v>
      </c>
      <c r="M2" s="5">
        <v>19500</v>
      </c>
      <c r="N2" s="6">
        <v>980</v>
      </c>
      <c r="P2" t="s">
        <v>20</v>
      </c>
      <c r="Q2" s="4">
        <f>I9-Q1*I10</f>
        <v>10000.000000000007</v>
      </c>
    </row>
    <row r="3" spans="1:17" ht="17" thickBot="1" x14ac:dyDescent="0.25">
      <c r="A3" s="3" t="s">
        <v>4</v>
      </c>
      <c r="B3" s="5">
        <v>19500</v>
      </c>
      <c r="C3" s="6">
        <v>980</v>
      </c>
      <c r="H3" s="3" t="s">
        <v>10</v>
      </c>
      <c r="I3" s="5">
        <v>21750</v>
      </c>
      <c r="J3" s="6">
        <v>1175</v>
      </c>
      <c r="L3" s="3" t="s">
        <v>3</v>
      </c>
      <c r="M3" s="5">
        <v>19000</v>
      </c>
      <c r="N3" s="6">
        <v>900</v>
      </c>
      <c r="P3" t="s">
        <v>21</v>
      </c>
      <c r="Q3" s="4">
        <f>M9-Q1*M10</f>
        <v>10000.000000000007</v>
      </c>
    </row>
    <row r="4" spans="1:17" ht="17" thickBot="1" x14ac:dyDescent="0.25">
      <c r="A4" s="3" t="s">
        <v>5</v>
      </c>
      <c r="B4" s="5">
        <v>21500</v>
      </c>
      <c r="C4" s="6">
        <v>1180</v>
      </c>
      <c r="E4" t="s">
        <v>17</v>
      </c>
      <c r="F4" s="4">
        <f>MEDIAN(B2:B13)</f>
        <v>20000</v>
      </c>
      <c r="H4" s="3" t="s">
        <v>5</v>
      </c>
      <c r="I4" s="5">
        <v>21500</v>
      </c>
      <c r="J4" s="6">
        <v>1180</v>
      </c>
      <c r="L4" s="3" t="s">
        <v>13</v>
      </c>
      <c r="M4" s="5">
        <v>18750</v>
      </c>
      <c r="N4" s="6">
        <v>875</v>
      </c>
    </row>
    <row r="5" spans="1:17" ht="17" thickBot="1" x14ac:dyDescent="0.25">
      <c r="A5" s="3" t="s">
        <v>6</v>
      </c>
      <c r="B5" s="5">
        <v>18500</v>
      </c>
      <c r="C5" s="6">
        <v>820</v>
      </c>
      <c r="H5" s="3" t="s">
        <v>14</v>
      </c>
      <c r="I5" s="5">
        <v>21250</v>
      </c>
      <c r="J5" s="6">
        <v>1125</v>
      </c>
      <c r="L5" s="3" t="s">
        <v>11</v>
      </c>
      <c r="M5" s="5">
        <v>18250</v>
      </c>
      <c r="N5" s="6">
        <v>825</v>
      </c>
    </row>
    <row r="6" spans="1:17" ht="17" thickBot="1" x14ac:dyDescent="0.25">
      <c r="A6" s="3" t="s">
        <v>7</v>
      </c>
      <c r="B6" s="5">
        <v>20500</v>
      </c>
      <c r="C6" s="6">
        <v>1020</v>
      </c>
      <c r="H6" s="3" t="s">
        <v>8</v>
      </c>
      <c r="I6" s="5">
        <v>21000</v>
      </c>
      <c r="J6" s="6">
        <v>1100</v>
      </c>
      <c r="L6" s="3" t="s">
        <v>6</v>
      </c>
      <c r="M6" s="5">
        <v>18500</v>
      </c>
      <c r="N6" s="6">
        <v>820</v>
      </c>
    </row>
    <row r="7" spans="1:17" ht="17" thickBot="1" x14ac:dyDescent="0.25">
      <c r="A7" s="3" t="s">
        <v>8</v>
      </c>
      <c r="B7" s="5">
        <v>21000</v>
      </c>
      <c r="C7" s="6">
        <v>1100</v>
      </c>
      <c r="H7" s="3" t="s">
        <v>7</v>
      </c>
      <c r="I7" s="5">
        <v>20500</v>
      </c>
      <c r="J7" s="6">
        <v>1020</v>
      </c>
      <c r="L7" s="3" t="s">
        <v>12</v>
      </c>
      <c r="M7" s="5">
        <v>18000</v>
      </c>
      <c r="N7" s="6">
        <v>800</v>
      </c>
    </row>
    <row r="8" spans="1:17" ht="17" thickBot="1" x14ac:dyDescent="0.25">
      <c r="A8" s="3" t="s">
        <v>9</v>
      </c>
      <c r="B8" s="5">
        <v>22000</v>
      </c>
      <c r="C8" s="6">
        <v>1200</v>
      </c>
    </row>
    <row r="9" spans="1:17" ht="17" thickBot="1" x14ac:dyDescent="0.25">
      <c r="A9" s="3" t="s">
        <v>10</v>
      </c>
      <c r="B9" s="5">
        <v>21750</v>
      </c>
      <c r="C9" s="6">
        <v>1175</v>
      </c>
      <c r="H9" s="8" t="s">
        <v>18</v>
      </c>
      <c r="I9" s="4">
        <f>AVERAGE(I2:I7)</f>
        <v>21333.333333333332</v>
      </c>
      <c r="L9" s="8" t="s">
        <v>18</v>
      </c>
      <c r="M9" s="4">
        <f>AVERAGE(M2:M7)</f>
        <v>18666.666666666668</v>
      </c>
    </row>
    <row r="10" spans="1:17" ht="17" thickBot="1" x14ac:dyDescent="0.25">
      <c r="A10" s="3" t="s">
        <v>11</v>
      </c>
      <c r="B10" s="5">
        <v>18250</v>
      </c>
      <c r="C10" s="6">
        <v>825</v>
      </c>
      <c r="H10" s="8" t="s">
        <v>19</v>
      </c>
      <c r="I10">
        <f>AVERAGE(J2:J7)</f>
        <v>1133.3333333333333</v>
      </c>
      <c r="L10" s="8" t="s">
        <v>19</v>
      </c>
      <c r="M10">
        <f>AVERAGE(N2:N7)</f>
        <v>866.66666666666663</v>
      </c>
    </row>
    <row r="11" spans="1:17" ht="17" thickBot="1" x14ac:dyDescent="0.25">
      <c r="A11" s="3" t="s">
        <v>12</v>
      </c>
      <c r="B11" s="5">
        <v>18000</v>
      </c>
      <c r="C11" s="6">
        <v>800</v>
      </c>
    </row>
    <row r="12" spans="1:17" ht="17" thickBot="1" x14ac:dyDescent="0.25">
      <c r="A12" s="3" t="s">
        <v>13</v>
      </c>
      <c r="B12" s="5">
        <v>18750</v>
      </c>
      <c r="C12" s="6">
        <v>875</v>
      </c>
    </row>
    <row r="13" spans="1:17" ht="17" thickBot="1" x14ac:dyDescent="0.25">
      <c r="A13" s="3" t="s">
        <v>14</v>
      </c>
      <c r="B13" s="5">
        <v>21250</v>
      </c>
      <c r="C13" s="6">
        <v>1125</v>
      </c>
    </row>
    <row r="18" spans="1:8" ht="17" thickBot="1" x14ac:dyDescent="0.25"/>
    <row r="19" spans="1:8" ht="17" thickBot="1" x14ac:dyDescent="0.25">
      <c r="A19" s="1" t="s">
        <v>0</v>
      </c>
      <c r="B19" s="2" t="s">
        <v>1</v>
      </c>
      <c r="C19" s="9" t="s">
        <v>2</v>
      </c>
      <c r="D19" s="11" t="s">
        <v>22</v>
      </c>
      <c r="E19" s="12" t="s">
        <v>23</v>
      </c>
      <c r="G19" s="7" t="s">
        <v>15</v>
      </c>
      <c r="H19" s="4">
        <f>(D32-C32*B32)/(E32-(C32*C32))</f>
        <v>9.6280511429677667</v>
      </c>
    </row>
    <row r="20" spans="1:8" ht="17" thickBot="1" x14ac:dyDescent="0.25">
      <c r="A20" s="3" t="s">
        <v>3</v>
      </c>
      <c r="B20" s="5">
        <v>19000</v>
      </c>
      <c r="C20" s="10">
        <v>900</v>
      </c>
      <c r="D20" s="13">
        <f>B20*C20</f>
        <v>17100000</v>
      </c>
      <c r="E20" s="14">
        <f>C20*C20</f>
        <v>810000</v>
      </c>
      <c r="G20" t="s">
        <v>16</v>
      </c>
      <c r="H20" s="4">
        <f>B32-H19*C32</f>
        <v>10371.948857032234</v>
      </c>
    </row>
    <row r="21" spans="1:8" ht="17" thickBot="1" x14ac:dyDescent="0.25">
      <c r="A21" s="3" t="s">
        <v>4</v>
      </c>
      <c r="B21" s="5">
        <v>19500</v>
      </c>
      <c r="C21" s="10">
        <v>980</v>
      </c>
      <c r="D21" s="13">
        <f t="shared" ref="D21:D31" si="0">B21*C21</f>
        <v>19110000</v>
      </c>
      <c r="E21" s="14">
        <f t="shared" ref="E21:E31" si="1">C21*C21</f>
        <v>960400</v>
      </c>
    </row>
    <row r="22" spans="1:8" ht="17" thickBot="1" x14ac:dyDescent="0.25">
      <c r="A22" s="3" t="s">
        <v>5</v>
      </c>
      <c r="B22" s="5">
        <v>21500</v>
      </c>
      <c r="C22" s="10">
        <v>1180</v>
      </c>
      <c r="D22" s="13">
        <f t="shared" si="0"/>
        <v>25370000</v>
      </c>
      <c r="E22" s="14">
        <f t="shared" si="1"/>
        <v>1392400</v>
      </c>
    </row>
    <row r="23" spans="1:8" ht="17" thickBot="1" x14ac:dyDescent="0.25">
      <c r="A23" s="3" t="s">
        <v>6</v>
      </c>
      <c r="B23" s="5">
        <v>18500</v>
      </c>
      <c r="C23" s="10">
        <v>820</v>
      </c>
      <c r="D23" s="13">
        <f t="shared" si="0"/>
        <v>15170000</v>
      </c>
      <c r="E23" s="14">
        <f t="shared" si="1"/>
        <v>672400</v>
      </c>
    </row>
    <row r="24" spans="1:8" ht="17" thickBot="1" x14ac:dyDescent="0.25">
      <c r="A24" s="3" t="s">
        <v>7</v>
      </c>
      <c r="B24" s="5">
        <v>20500</v>
      </c>
      <c r="C24" s="10">
        <v>1020</v>
      </c>
      <c r="D24" s="13">
        <f t="shared" si="0"/>
        <v>20910000</v>
      </c>
      <c r="E24" s="14">
        <f t="shared" si="1"/>
        <v>1040400</v>
      </c>
    </row>
    <row r="25" spans="1:8" ht="17" thickBot="1" x14ac:dyDescent="0.25">
      <c r="A25" s="3" t="s">
        <v>8</v>
      </c>
      <c r="B25" s="5">
        <v>21000</v>
      </c>
      <c r="C25" s="10">
        <v>1100</v>
      </c>
      <c r="D25" s="13">
        <f t="shared" si="0"/>
        <v>23100000</v>
      </c>
      <c r="E25" s="14">
        <f t="shared" si="1"/>
        <v>1210000</v>
      </c>
    </row>
    <row r="26" spans="1:8" ht="17" thickBot="1" x14ac:dyDescent="0.25">
      <c r="A26" s="3" t="s">
        <v>9</v>
      </c>
      <c r="B26" s="5">
        <v>22000</v>
      </c>
      <c r="C26" s="10">
        <v>1200</v>
      </c>
      <c r="D26" s="13">
        <f t="shared" si="0"/>
        <v>26400000</v>
      </c>
      <c r="E26" s="14">
        <f t="shared" si="1"/>
        <v>1440000</v>
      </c>
    </row>
    <row r="27" spans="1:8" ht="17" thickBot="1" x14ac:dyDescent="0.25">
      <c r="A27" s="3" t="s">
        <v>10</v>
      </c>
      <c r="B27" s="5">
        <v>21750</v>
      </c>
      <c r="C27" s="10">
        <v>1175</v>
      </c>
      <c r="D27" s="13">
        <f t="shared" si="0"/>
        <v>25556250</v>
      </c>
      <c r="E27" s="14">
        <f t="shared" si="1"/>
        <v>1380625</v>
      </c>
    </row>
    <row r="28" spans="1:8" ht="17" thickBot="1" x14ac:dyDescent="0.25">
      <c r="A28" s="3" t="s">
        <v>11</v>
      </c>
      <c r="B28" s="5">
        <v>18250</v>
      </c>
      <c r="C28" s="10">
        <v>825</v>
      </c>
      <c r="D28" s="13">
        <f t="shared" si="0"/>
        <v>15056250</v>
      </c>
      <c r="E28" s="14">
        <f t="shared" si="1"/>
        <v>680625</v>
      </c>
    </row>
    <row r="29" spans="1:8" ht="17" thickBot="1" x14ac:dyDescent="0.25">
      <c r="A29" s="3" t="s">
        <v>12</v>
      </c>
      <c r="B29" s="5">
        <v>18000</v>
      </c>
      <c r="C29" s="10">
        <v>800</v>
      </c>
      <c r="D29" s="13">
        <f t="shared" si="0"/>
        <v>14400000</v>
      </c>
      <c r="E29" s="14">
        <f t="shared" si="1"/>
        <v>640000</v>
      </c>
    </row>
    <row r="30" spans="1:8" ht="17" thickBot="1" x14ac:dyDescent="0.25">
      <c r="A30" s="3" t="s">
        <v>13</v>
      </c>
      <c r="B30" s="5">
        <v>18750</v>
      </c>
      <c r="C30" s="10">
        <v>875</v>
      </c>
      <c r="D30" s="13">
        <f t="shared" si="0"/>
        <v>16406250</v>
      </c>
      <c r="E30" s="14">
        <f t="shared" si="1"/>
        <v>765625</v>
      </c>
    </row>
    <row r="31" spans="1:8" ht="17" thickBot="1" x14ac:dyDescent="0.25">
      <c r="A31" s="3" t="s">
        <v>14</v>
      </c>
      <c r="B31" s="5">
        <v>21250</v>
      </c>
      <c r="C31" s="10">
        <v>1125</v>
      </c>
      <c r="D31" s="15">
        <f t="shared" si="0"/>
        <v>23906250</v>
      </c>
      <c r="E31" s="16">
        <f t="shared" si="1"/>
        <v>1265625</v>
      </c>
    </row>
    <row r="32" spans="1:8" x14ac:dyDescent="0.2">
      <c r="A32" s="17" t="s">
        <v>24</v>
      </c>
      <c r="B32" s="4">
        <f>AVERAGE(B20:B31)</f>
        <v>20000</v>
      </c>
      <c r="C32">
        <f>AVERAGE(C20:C31)</f>
        <v>1000</v>
      </c>
      <c r="D32" s="4">
        <f>AVERAGE(D20:D31)</f>
        <v>20207083.333333332</v>
      </c>
      <c r="E32" s="18">
        <f>AVERAGE(E20:E31)</f>
        <v>1021508.3333333334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18519-25F9-EF4E-AE58-8F81AC89ECAD}">
  <dimension ref="A2:G24"/>
  <sheetViews>
    <sheetView tabSelected="1" workbookViewId="0">
      <selection activeCell="C19" sqref="C19"/>
    </sheetView>
  </sheetViews>
  <sheetFormatPr baseColWidth="10" defaultRowHeight="16" x14ac:dyDescent="0.2"/>
  <cols>
    <col min="3" max="3" width="12.33203125" bestFit="1" customWidth="1"/>
  </cols>
  <sheetData>
    <row r="2" spans="1:7" x14ac:dyDescent="0.2">
      <c r="B2" t="s">
        <v>29</v>
      </c>
      <c r="C2" t="s">
        <v>30</v>
      </c>
      <c r="D2" t="s">
        <v>31</v>
      </c>
      <c r="F2" t="s">
        <v>36</v>
      </c>
      <c r="G2" t="s">
        <v>43</v>
      </c>
    </row>
    <row r="3" spans="1:7" x14ac:dyDescent="0.2">
      <c r="A3" t="s">
        <v>25</v>
      </c>
      <c r="B3">
        <v>340</v>
      </c>
      <c r="C3">
        <v>30</v>
      </c>
      <c r="D3">
        <f>B3*C3</f>
        <v>10200</v>
      </c>
      <c r="F3">
        <f>GCD(C3:C6)</f>
        <v>6</v>
      </c>
      <c r="G3">
        <v>4800</v>
      </c>
    </row>
    <row r="4" spans="1:7" x14ac:dyDescent="0.2">
      <c r="A4" t="s">
        <v>26</v>
      </c>
      <c r="B4">
        <v>600</v>
      </c>
      <c r="C4">
        <v>24</v>
      </c>
      <c r="D4">
        <f t="shared" ref="D4:D6" si="0">B4*C4</f>
        <v>14400</v>
      </c>
    </row>
    <row r="5" spans="1:7" x14ac:dyDescent="0.2">
      <c r="A5" t="s">
        <v>27</v>
      </c>
      <c r="B5">
        <v>450</v>
      </c>
      <c r="C5">
        <v>36</v>
      </c>
      <c r="D5">
        <f t="shared" si="0"/>
        <v>16200</v>
      </c>
    </row>
    <row r="6" spans="1:7" x14ac:dyDescent="0.2">
      <c r="A6" t="s">
        <v>28</v>
      </c>
      <c r="B6">
        <v>400</v>
      </c>
      <c r="C6">
        <v>42</v>
      </c>
      <c r="D6">
        <f t="shared" si="0"/>
        <v>16800</v>
      </c>
    </row>
    <row r="8" spans="1:7" x14ac:dyDescent="0.2">
      <c r="A8" t="s">
        <v>32</v>
      </c>
      <c r="B8">
        <f>C3/$F$3</f>
        <v>5</v>
      </c>
    </row>
    <row r="9" spans="1:7" x14ac:dyDescent="0.2">
      <c r="A9" t="s">
        <v>33</v>
      </c>
      <c r="B9">
        <f>C4/$F$3</f>
        <v>4</v>
      </c>
    </row>
    <row r="10" spans="1:7" x14ac:dyDescent="0.2">
      <c r="A10" t="s">
        <v>34</v>
      </c>
      <c r="B10">
        <f t="shared" ref="B10:B11" si="1">C5/$F$3</f>
        <v>6</v>
      </c>
    </row>
    <row r="11" spans="1:7" x14ac:dyDescent="0.2">
      <c r="A11" t="s">
        <v>35</v>
      </c>
      <c r="B11">
        <f t="shared" si="1"/>
        <v>7</v>
      </c>
    </row>
    <row r="13" spans="1:7" x14ac:dyDescent="0.2">
      <c r="A13" t="s">
        <v>37</v>
      </c>
      <c r="B13">
        <f>B3*B8</f>
        <v>1700</v>
      </c>
    </row>
    <row r="14" spans="1:7" x14ac:dyDescent="0.2">
      <c r="A14" t="s">
        <v>38</v>
      </c>
      <c r="B14">
        <f t="shared" ref="B14:B15" si="2">B4*B9</f>
        <v>2400</v>
      </c>
    </row>
    <row r="15" spans="1:7" x14ac:dyDescent="0.2">
      <c r="A15" t="s">
        <v>39</v>
      </c>
      <c r="B15">
        <f t="shared" si="2"/>
        <v>2700</v>
      </c>
    </row>
    <row r="16" spans="1:7" x14ac:dyDescent="0.2">
      <c r="A16" t="s">
        <v>40</v>
      </c>
      <c r="B16">
        <f>B6*B11</f>
        <v>2800</v>
      </c>
    </row>
    <row r="17" spans="1:2" x14ac:dyDescent="0.2">
      <c r="A17" t="s">
        <v>41</v>
      </c>
      <c r="B17">
        <f>SUM(B13:B16)</f>
        <v>9600</v>
      </c>
    </row>
    <row r="19" spans="1:2" x14ac:dyDescent="0.2">
      <c r="A19" t="s">
        <v>42</v>
      </c>
      <c r="B19">
        <f>G3/B17</f>
        <v>0.5</v>
      </c>
    </row>
    <row r="21" spans="1:2" x14ac:dyDescent="0.2">
      <c r="A21" t="s">
        <v>44</v>
      </c>
      <c r="B21">
        <f>$B$19*B8</f>
        <v>2.5</v>
      </c>
    </row>
    <row r="22" spans="1:2" x14ac:dyDescent="0.2">
      <c r="A22" t="s">
        <v>45</v>
      </c>
      <c r="B22">
        <f t="shared" ref="B22:B24" si="3">$B$19*B9</f>
        <v>2</v>
      </c>
    </row>
    <row r="23" spans="1:2" x14ac:dyDescent="0.2">
      <c r="A23" t="s">
        <v>46</v>
      </c>
      <c r="B23">
        <f t="shared" si="3"/>
        <v>3</v>
      </c>
    </row>
    <row r="24" spans="1:2" x14ac:dyDescent="0.2">
      <c r="A24" t="s">
        <v>47</v>
      </c>
      <c r="B24">
        <f t="shared" si="3"/>
        <v>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7EF22-853A-2143-8A0A-91BF964EC8D9}">
  <dimension ref="A1:H32"/>
  <sheetViews>
    <sheetView topLeftCell="A2" workbookViewId="0">
      <selection activeCell="J15" sqref="J15"/>
    </sheetView>
  </sheetViews>
  <sheetFormatPr baseColWidth="10" defaultRowHeight="16" x14ac:dyDescent="0.2"/>
  <cols>
    <col min="1" max="1" width="26.83203125" bestFit="1" customWidth="1"/>
    <col min="3" max="3" width="15.83203125" bestFit="1" customWidth="1"/>
    <col min="5" max="5" width="16.33203125" bestFit="1" customWidth="1"/>
  </cols>
  <sheetData>
    <row r="1" spans="1:8" ht="17" thickBot="1" x14ac:dyDescent="0.25">
      <c r="A1" s="19"/>
      <c r="B1" s="20" t="s">
        <v>52</v>
      </c>
      <c r="C1" s="21"/>
      <c r="D1" s="22"/>
      <c r="E1" s="23" t="s">
        <v>53</v>
      </c>
    </row>
    <row r="2" spans="1:8" ht="17" customHeight="1" thickBot="1" x14ac:dyDescent="0.25">
      <c r="A2" s="24" t="s">
        <v>54</v>
      </c>
      <c r="B2" s="25" t="s">
        <v>55</v>
      </c>
      <c r="C2" s="25" t="s">
        <v>56</v>
      </c>
      <c r="D2" s="25" t="s">
        <v>57</v>
      </c>
      <c r="E2" s="25" t="s">
        <v>58</v>
      </c>
    </row>
    <row r="3" spans="1:8" ht="17" thickBot="1" x14ac:dyDescent="0.25">
      <c r="A3" s="24" t="s">
        <v>25</v>
      </c>
      <c r="B3" s="26">
        <v>6</v>
      </c>
      <c r="C3" s="26">
        <v>5</v>
      </c>
      <c r="D3" s="26">
        <v>8</v>
      </c>
      <c r="E3" s="26">
        <v>37</v>
      </c>
    </row>
    <row r="4" spans="1:8" ht="17" thickBot="1" x14ac:dyDescent="0.25">
      <c r="A4" s="24" t="s">
        <v>26</v>
      </c>
      <c r="B4" s="26">
        <v>5</v>
      </c>
      <c r="C4" s="26">
        <v>4</v>
      </c>
      <c r="D4" s="26">
        <v>6</v>
      </c>
      <c r="E4" s="26">
        <v>27</v>
      </c>
    </row>
    <row r="5" spans="1:8" ht="17" thickBot="1" x14ac:dyDescent="0.25">
      <c r="A5" s="24" t="s">
        <v>27</v>
      </c>
      <c r="B5" s="26">
        <v>7</v>
      </c>
      <c r="C5" s="26">
        <v>6</v>
      </c>
      <c r="D5" s="26">
        <v>9</v>
      </c>
      <c r="E5" s="26">
        <v>40</v>
      </c>
    </row>
    <row r="7" spans="1:8" ht="17" thickBot="1" x14ac:dyDescent="0.25"/>
    <row r="8" spans="1:8" ht="17" thickBot="1" x14ac:dyDescent="0.25">
      <c r="A8" s="27" t="s">
        <v>59</v>
      </c>
      <c r="B8" s="28" t="s">
        <v>60</v>
      </c>
      <c r="C8" s="28" t="s">
        <v>61</v>
      </c>
      <c r="D8" s="28" t="s">
        <v>62</v>
      </c>
      <c r="E8" s="28" t="s">
        <v>63</v>
      </c>
      <c r="F8" s="28" t="s">
        <v>64</v>
      </c>
      <c r="H8" s="29"/>
    </row>
    <row r="9" spans="1:8" ht="17" thickBot="1" x14ac:dyDescent="0.25">
      <c r="A9" s="39" t="s">
        <v>65</v>
      </c>
      <c r="B9" s="30">
        <v>16</v>
      </c>
      <c r="C9" s="30">
        <v>10</v>
      </c>
      <c r="D9" s="30">
        <v>13</v>
      </c>
      <c r="E9" s="30">
        <v>1</v>
      </c>
      <c r="F9" s="26">
        <f>SUM(B9:E9)</f>
        <v>40</v>
      </c>
    </row>
    <row r="10" spans="1:8" ht="17" thickBot="1" x14ac:dyDescent="0.25">
      <c r="A10" s="39" t="s">
        <v>66</v>
      </c>
      <c r="B10" s="30">
        <v>750</v>
      </c>
      <c r="C10" s="30">
        <v>450</v>
      </c>
      <c r="D10" s="30">
        <v>250</v>
      </c>
      <c r="E10" s="30">
        <v>550</v>
      </c>
      <c r="F10" s="26">
        <f t="shared" ref="F10:F14" si="0">SUM(B10:E10)</f>
        <v>2000</v>
      </c>
    </row>
    <row r="11" spans="1:8" ht="17" thickBot="1" x14ac:dyDescent="0.25">
      <c r="A11" s="39" t="s">
        <v>67</v>
      </c>
      <c r="B11" s="30">
        <v>4000</v>
      </c>
      <c r="C11" s="30">
        <v>2000</v>
      </c>
      <c r="D11" s="30">
        <v>1000</v>
      </c>
      <c r="E11" s="30">
        <v>3000</v>
      </c>
      <c r="F11" s="26">
        <f t="shared" si="0"/>
        <v>10000</v>
      </c>
    </row>
    <row r="12" spans="1:8" ht="17" thickBot="1" x14ac:dyDescent="0.25">
      <c r="A12" s="39" t="s">
        <v>68</v>
      </c>
      <c r="B12" s="31">
        <v>14000</v>
      </c>
      <c r="C12" s="31">
        <v>8750</v>
      </c>
      <c r="D12" s="31">
        <v>12250</v>
      </c>
      <c r="E12" s="32"/>
      <c r="F12" s="26">
        <f t="shared" si="0"/>
        <v>35000</v>
      </c>
    </row>
    <row r="13" spans="1:8" ht="17" thickBot="1" x14ac:dyDescent="0.25">
      <c r="A13" s="39" t="s">
        <v>69</v>
      </c>
      <c r="B13" s="30">
        <v>150</v>
      </c>
      <c r="C13" s="30">
        <v>90</v>
      </c>
      <c r="D13" s="30">
        <v>120</v>
      </c>
      <c r="E13" s="32"/>
      <c r="F13" s="26">
        <f t="shared" si="0"/>
        <v>360</v>
      </c>
    </row>
    <row r="14" spans="1:8" ht="17" thickBot="1" x14ac:dyDescent="0.25">
      <c r="A14" s="39" t="s">
        <v>70</v>
      </c>
      <c r="B14" s="31">
        <v>1690</v>
      </c>
      <c r="C14" s="30">
        <v>815</v>
      </c>
      <c r="D14" s="31">
        <v>1455</v>
      </c>
      <c r="E14" s="32"/>
      <c r="F14" s="26">
        <f t="shared" si="0"/>
        <v>3960</v>
      </c>
    </row>
    <row r="16" spans="1:8" ht="17" thickBot="1" x14ac:dyDescent="0.25"/>
    <row r="17" spans="1:8" ht="17" thickBot="1" x14ac:dyDescent="0.25">
      <c r="A17" s="27" t="s">
        <v>71</v>
      </c>
      <c r="B17" s="33" t="s">
        <v>72</v>
      </c>
      <c r="C17" s="33" t="s">
        <v>51</v>
      </c>
      <c r="D17" s="33" t="s">
        <v>48</v>
      </c>
      <c r="E17" s="33" t="s">
        <v>49</v>
      </c>
      <c r="F17" s="33" t="s">
        <v>50</v>
      </c>
      <c r="G17" s="33" t="s">
        <v>73</v>
      </c>
    </row>
    <row r="18" spans="1:8" ht="17" thickBot="1" x14ac:dyDescent="0.25">
      <c r="A18" s="34" t="s">
        <v>74</v>
      </c>
      <c r="B18" s="31">
        <v>2000</v>
      </c>
      <c r="C18" s="39" t="s">
        <v>66</v>
      </c>
      <c r="D18" s="26">
        <f>B10/$F$10*$B$18</f>
        <v>750</v>
      </c>
      <c r="E18" s="26">
        <f t="shared" ref="E18:G18" si="1">C10/$F$10*$B$18</f>
        <v>450</v>
      </c>
      <c r="F18" s="26">
        <f t="shared" si="1"/>
        <v>250</v>
      </c>
      <c r="G18" s="26">
        <f t="shared" si="1"/>
        <v>550</v>
      </c>
      <c r="H18" s="40">
        <f t="shared" ref="H18:H23" si="2">SUM(D18:G18)</f>
        <v>2000</v>
      </c>
    </row>
    <row r="19" spans="1:8" ht="17" thickBot="1" x14ac:dyDescent="0.25">
      <c r="A19" s="34" t="s">
        <v>75</v>
      </c>
      <c r="B19" s="31">
        <v>4000</v>
      </c>
      <c r="C19" s="39" t="s">
        <v>65</v>
      </c>
      <c r="D19" s="26">
        <f>B9/$F$9*$B$19</f>
        <v>1600</v>
      </c>
      <c r="E19" s="26">
        <f t="shared" ref="E19:G19" si="3">C9/$F$9*$B$19</f>
        <v>1000</v>
      </c>
      <c r="F19" s="26">
        <f t="shared" si="3"/>
        <v>1300</v>
      </c>
      <c r="G19" s="26">
        <f t="shared" si="3"/>
        <v>100</v>
      </c>
      <c r="H19" s="40">
        <f t="shared" si="2"/>
        <v>4000</v>
      </c>
    </row>
    <row r="20" spans="1:8" ht="29" thickBot="1" x14ac:dyDescent="0.25">
      <c r="A20" s="34" t="s">
        <v>76</v>
      </c>
      <c r="B20" s="30">
        <v>1200</v>
      </c>
      <c r="C20" s="39" t="s">
        <v>69</v>
      </c>
      <c r="D20" s="26">
        <f>B13/$F$13*$B$20</f>
        <v>500</v>
      </c>
      <c r="E20" s="26">
        <f t="shared" ref="E20:G20" si="4">C13/$F$13*$B$20</f>
        <v>300</v>
      </c>
      <c r="F20" s="26">
        <f t="shared" si="4"/>
        <v>400</v>
      </c>
      <c r="G20" s="26">
        <f t="shared" si="4"/>
        <v>0</v>
      </c>
      <c r="H20" s="40">
        <f t="shared" si="2"/>
        <v>1200</v>
      </c>
    </row>
    <row r="21" spans="1:8" ht="17" thickBot="1" x14ac:dyDescent="0.25">
      <c r="A21" s="34" t="s">
        <v>77</v>
      </c>
      <c r="B21" s="31">
        <v>4000</v>
      </c>
      <c r="C21" s="39" t="s">
        <v>65</v>
      </c>
      <c r="D21" s="26">
        <f>B9/$F$9*$B$21</f>
        <v>1600</v>
      </c>
      <c r="E21" s="26">
        <f t="shared" ref="E21:G21" si="5">C9/$F$9*$B$21</f>
        <v>1000</v>
      </c>
      <c r="F21" s="26">
        <f t="shared" si="5"/>
        <v>1300</v>
      </c>
      <c r="G21" s="26">
        <f t="shared" si="5"/>
        <v>100</v>
      </c>
      <c r="H21" s="40">
        <f t="shared" si="2"/>
        <v>4000</v>
      </c>
    </row>
    <row r="22" spans="1:8" ht="17" thickBot="1" x14ac:dyDescent="0.25">
      <c r="A22" s="34" t="s">
        <v>78</v>
      </c>
      <c r="B22" s="30">
        <v>2000</v>
      </c>
      <c r="C22" s="39" t="s">
        <v>66</v>
      </c>
      <c r="D22" s="26">
        <f>B10/$F$10*$B$22</f>
        <v>750</v>
      </c>
      <c r="E22" s="26">
        <f t="shared" ref="E22:G22" si="6">C10/$F$10*$B$22</f>
        <v>450</v>
      </c>
      <c r="F22" s="26">
        <f t="shared" si="6"/>
        <v>250</v>
      </c>
      <c r="G22" s="26">
        <f t="shared" si="6"/>
        <v>550</v>
      </c>
      <c r="H22" s="40">
        <f t="shared" si="2"/>
        <v>2000</v>
      </c>
    </row>
    <row r="23" spans="1:8" ht="17" thickBot="1" x14ac:dyDescent="0.25">
      <c r="A23" s="34" t="s">
        <v>79</v>
      </c>
      <c r="B23" s="30">
        <v>2000</v>
      </c>
      <c r="C23" s="39" t="s">
        <v>67</v>
      </c>
      <c r="D23" s="26">
        <f>B11/$F$11*$B$23</f>
        <v>800</v>
      </c>
      <c r="E23" s="26">
        <f t="shared" ref="E23:G23" si="7">C11/$F$11*$B$23</f>
        <v>400</v>
      </c>
      <c r="F23" s="26">
        <f t="shared" si="7"/>
        <v>200</v>
      </c>
      <c r="G23" s="26">
        <f t="shared" si="7"/>
        <v>600</v>
      </c>
      <c r="H23" s="40">
        <f t="shared" si="2"/>
        <v>2000</v>
      </c>
    </row>
    <row r="24" spans="1:8" ht="17" thickBot="1" x14ac:dyDescent="0.25">
      <c r="A24" s="34" t="s">
        <v>64</v>
      </c>
      <c r="B24" s="35">
        <v>15200</v>
      </c>
      <c r="C24" s="36"/>
      <c r="D24" s="36">
        <f>SUM(D18:D23)</f>
        <v>6000</v>
      </c>
      <c r="E24" s="36">
        <f>SUM(E18:E23)</f>
        <v>3600</v>
      </c>
      <c r="F24" s="36">
        <f t="shared" ref="F24:G24" si="8">SUM(F18:F23)</f>
        <v>3700</v>
      </c>
      <c r="G24" s="36">
        <f t="shared" si="8"/>
        <v>1900</v>
      </c>
      <c r="H24" s="40">
        <f>SUM(D24:G24)</f>
        <v>15200</v>
      </c>
    </row>
    <row r="25" spans="1:8" ht="17" thickBot="1" x14ac:dyDescent="0.25"/>
    <row r="26" spans="1:8" ht="17" thickBot="1" x14ac:dyDescent="0.25">
      <c r="A26" s="27"/>
      <c r="B26" s="33" t="s">
        <v>80</v>
      </c>
      <c r="C26" s="33" t="s">
        <v>81</v>
      </c>
      <c r="D26" s="33" t="s">
        <v>82</v>
      </c>
      <c r="E26" s="33" t="s">
        <v>83</v>
      </c>
    </row>
    <row r="27" spans="1:8" ht="29" thickBot="1" x14ac:dyDescent="0.25">
      <c r="A27" s="37" t="s">
        <v>84</v>
      </c>
      <c r="B27" s="38">
        <f>D24</f>
        <v>6000</v>
      </c>
      <c r="C27" s="38">
        <f>E24</f>
        <v>3600</v>
      </c>
      <c r="D27" s="38">
        <f>F24</f>
        <v>3700</v>
      </c>
      <c r="E27" s="38">
        <f>G24</f>
        <v>1900</v>
      </c>
    </row>
    <row r="28" spans="1:8" ht="29" thickBot="1" x14ac:dyDescent="0.25">
      <c r="A28" s="37" t="s">
        <v>85</v>
      </c>
      <c r="B28" s="38">
        <f>D24+B12/$F$12*$G$24</f>
        <v>6760</v>
      </c>
      <c r="C28" s="38">
        <f>E24+C12/$F$12*$G$24</f>
        <v>4075</v>
      </c>
      <c r="D28" s="38">
        <f>F24+D12/$F$12*$G$24</f>
        <v>4365</v>
      </c>
      <c r="E28" s="38"/>
    </row>
    <row r="29" spans="1:8" ht="17" thickBot="1" x14ac:dyDescent="0.25">
      <c r="A29" s="37" t="s">
        <v>86</v>
      </c>
      <c r="B29" s="38">
        <f>B28/B14</f>
        <v>4</v>
      </c>
      <c r="C29" s="38">
        <f>C28/C14</f>
        <v>5</v>
      </c>
      <c r="D29" s="38">
        <f>D28/D14</f>
        <v>3</v>
      </c>
      <c r="E29" s="38"/>
    </row>
    <row r="30" spans="1:8" ht="17" thickBot="1" x14ac:dyDescent="0.25"/>
    <row r="31" spans="1:8" ht="17" thickBot="1" x14ac:dyDescent="0.25">
      <c r="A31" s="27"/>
      <c r="B31" s="33" t="s">
        <v>25</v>
      </c>
      <c r="C31" s="33" t="s">
        <v>26</v>
      </c>
      <c r="D31" s="33" t="s">
        <v>27</v>
      </c>
    </row>
    <row r="32" spans="1:8" ht="17" thickBot="1" x14ac:dyDescent="0.25">
      <c r="A32" s="37" t="s">
        <v>87</v>
      </c>
      <c r="B32" s="38">
        <f>B29*B3+C29*C3+D3*D29+E3</f>
        <v>110</v>
      </c>
      <c r="C32" s="38">
        <f>B29*B4+C29*C4+D4*D29+E4</f>
        <v>85</v>
      </c>
      <c r="D32" s="38">
        <f>B29*B5+C29*C5+D5*D29+E5</f>
        <v>125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2023-05-29T13:24:45Z</dcterms:created>
  <dcterms:modified xsi:type="dcterms:W3CDTF">2023-06-12T11:37:09Z</dcterms:modified>
</cp:coreProperties>
</file>