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bertjakubiak/Desktop/Studia/Biznes/Kalkulator hoteli/"/>
    </mc:Choice>
  </mc:AlternateContent>
  <xr:revisionPtr revIDLastSave="0" documentId="13_ncr:1_{125F8D85-64DA-1B40-BF27-38613047640C}" xr6:coauthVersionLast="47" xr6:coauthVersionMax="47" xr10:uidLastSave="{00000000-0000-0000-0000-000000000000}"/>
  <bookViews>
    <workbookView xWindow="0" yWindow="0" windowWidth="28800" windowHeight="18000" activeTab="1" xr2:uid="{6FAAA2ED-059D-0C47-B52F-EB5EF0B80D94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K10" i="2"/>
  <c r="J10" i="2"/>
  <c r="I10" i="2"/>
  <c r="H10" i="2"/>
  <c r="G10" i="2"/>
  <c r="F10" i="2"/>
  <c r="J9" i="2"/>
  <c r="K9" i="2" s="1"/>
  <c r="H9" i="2"/>
  <c r="G9" i="2"/>
  <c r="F9" i="2"/>
  <c r="N5" i="2" s="1"/>
  <c r="I8" i="2"/>
  <c r="H8" i="2"/>
  <c r="G8" i="2"/>
  <c r="F8" i="2"/>
  <c r="H7" i="2"/>
  <c r="I7" i="2" s="1"/>
  <c r="J7" i="2" s="1"/>
  <c r="G7" i="2"/>
  <c r="F7" i="2"/>
  <c r="I19" i="1"/>
  <c r="J19" i="1"/>
  <c r="G18" i="1"/>
  <c r="H18" i="1"/>
  <c r="I18" i="1"/>
  <c r="J18" i="1"/>
  <c r="K18" i="1"/>
  <c r="F18" i="1"/>
  <c r="G17" i="1"/>
  <c r="H17" i="1"/>
  <c r="I17" i="1"/>
  <c r="J17" i="1"/>
  <c r="K17" i="1"/>
  <c r="F17" i="1"/>
  <c r="G16" i="1"/>
  <c r="H16" i="1"/>
  <c r="I16" i="1"/>
  <c r="J16" i="1"/>
  <c r="K16" i="1"/>
  <c r="F16" i="1"/>
  <c r="G15" i="1"/>
  <c r="G19" i="1" s="1"/>
  <c r="H15" i="1"/>
  <c r="H19" i="1" s="1"/>
  <c r="I15" i="1"/>
  <c r="J15" i="1"/>
  <c r="K15" i="1"/>
  <c r="K19" i="1" s="1"/>
  <c r="F15" i="1"/>
  <c r="F19" i="1" s="1"/>
  <c r="F23" i="1"/>
  <c r="M4" i="1"/>
  <c r="M5" i="1"/>
  <c r="M6" i="1"/>
  <c r="M3" i="1"/>
  <c r="I7" i="1"/>
  <c r="J7" i="1" s="1"/>
  <c r="K10" i="1"/>
  <c r="G8" i="1"/>
  <c r="H7" i="1"/>
  <c r="H22" i="1" s="1"/>
  <c r="G7" i="1"/>
  <c r="G22" i="1" s="1"/>
  <c r="J9" i="1"/>
  <c r="K9" i="1" s="1"/>
  <c r="J10" i="1"/>
  <c r="I8" i="1"/>
  <c r="J8" i="1" s="1"/>
  <c r="K8" i="1" s="1"/>
  <c r="I9" i="1"/>
  <c r="I10" i="1"/>
  <c r="H8" i="1"/>
  <c r="H9" i="1"/>
  <c r="H10" i="1"/>
  <c r="G9" i="1"/>
  <c r="G10" i="1"/>
  <c r="F8" i="1"/>
  <c r="N4" i="1" s="1"/>
  <c r="F9" i="1"/>
  <c r="N5" i="1" s="1"/>
  <c r="F10" i="1"/>
  <c r="N6" i="1" s="1"/>
  <c r="F7" i="1"/>
  <c r="F22" i="1" s="1"/>
  <c r="G22" i="2" l="1"/>
  <c r="G23" i="2" s="1"/>
  <c r="I22" i="2"/>
  <c r="I23" i="2" s="1"/>
  <c r="M13" i="2"/>
  <c r="N14" i="2"/>
  <c r="N6" i="2"/>
  <c r="K7" i="2"/>
  <c r="N3" i="2" s="1"/>
  <c r="M3" i="2"/>
  <c r="G17" i="2"/>
  <c r="J8" i="2"/>
  <c r="K8" i="2" s="1"/>
  <c r="H22" i="2"/>
  <c r="N13" i="2"/>
  <c r="K17" i="2" s="1"/>
  <c r="M14" i="2"/>
  <c r="F22" i="2"/>
  <c r="M5" i="2"/>
  <c r="M6" i="2"/>
  <c r="G25" i="1"/>
  <c r="G24" i="1"/>
  <c r="G23" i="1"/>
  <c r="G26" i="1"/>
  <c r="H25" i="1"/>
  <c r="H26" i="1"/>
  <c r="H24" i="1"/>
  <c r="H23" i="1"/>
  <c r="F25" i="1"/>
  <c r="F26" i="1"/>
  <c r="F24" i="1"/>
  <c r="K7" i="1"/>
  <c r="K22" i="1" s="1"/>
  <c r="J22" i="1"/>
  <c r="N11" i="1"/>
  <c r="N14" i="1"/>
  <c r="I22" i="1"/>
  <c r="N13" i="1"/>
  <c r="N12" i="1"/>
  <c r="N3" i="1"/>
  <c r="M14" i="1"/>
  <c r="M13" i="1"/>
  <c r="M12" i="1"/>
  <c r="I26" i="2" l="1"/>
  <c r="G25" i="2"/>
  <c r="G26" i="2"/>
  <c r="G24" i="2"/>
  <c r="I24" i="2"/>
  <c r="I25" i="2"/>
  <c r="H17" i="2"/>
  <c r="M12" i="2"/>
  <c r="H16" i="2" s="1"/>
  <c r="N11" i="2"/>
  <c r="M11" i="2"/>
  <c r="J17" i="2"/>
  <c r="F17" i="2"/>
  <c r="N4" i="2"/>
  <c r="F23" i="2"/>
  <c r="F24" i="2"/>
  <c r="F25" i="2"/>
  <c r="F26" i="2"/>
  <c r="M4" i="2"/>
  <c r="K18" i="2"/>
  <c r="H18" i="2"/>
  <c r="J18" i="2"/>
  <c r="I18" i="2"/>
  <c r="G18" i="2"/>
  <c r="F18" i="2"/>
  <c r="I17" i="2"/>
  <c r="H24" i="2"/>
  <c r="H23" i="2"/>
  <c r="H25" i="2"/>
  <c r="H26" i="2"/>
  <c r="N12" i="2"/>
  <c r="J22" i="2"/>
  <c r="K22" i="2"/>
  <c r="J26" i="1"/>
  <c r="J24" i="1"/>
  <c r="J25" i="1"/>
  <c r="J23" i="1"/>
  <c r="K23" i="1"/>
  <c r="K25" i="1"/>
  <c r="K26" i="1"/>
  <c r="K24" i="1"/>
  <c r="M11" i="1"/>
  <c r="I23" i="1"/>
  <c r="I25" i="1"/>
  <c r="I26" i="1"/>
  <c r="I24" i="1"/>
  <c r="K15" i="2" l="1"/>
  <c r="I15" i="2"/>
  <c r="G15" i="2"/>
  <c r="H15" i="2"/>
  <c r="H19" i="2" s="1"/>
  <c r="G16" i="2"/>
  <c r="F15" i="2"/>
  <c r="J15" i="2"/>
  <c r="K25" i="2"/>
  <c r="K26" i="2"/>
  <c r="K23" i="2"/>
  <c r="K24" i="2"/>
  <c r="J24" i="2"/>
  <c r="L24" i="2" s="1"/>
  <c r="J23" i="2"/>
  <c r="L23" i="2" s="1"/>
  <c r="J25" i="2"/>
  <c r="J26" i="2"/>
  <c r="L26" i="2" s="1"/>
  <c r="G19" i="2"/>
  <c r="J16" i="2"/>
  <c r="K16" i="2"/>
  <c r="K19" i="2" s="1"/>
  <c r="I16" i="2"/>
  <c r="I19" i="2" s="1"/>
  <c r="F16" i="2"/>
  <c r="L26" i="1"/>
  <c r="L25" i="1"/>
  <c r="L24" i="1"/>
  <c r="L23" i="1"/>
  <c r="L25" i="2" l="1"/>
  <c r="F19" i="2"/>
  <c r="J19" i="2"/>
</calcChain>
</file>

<file path=xl/sharedStrings.xml><?xml version="1.0" encoding="utf-8"?>
<sst xmlns="http://schemas.openxmlformats.org/spreadsheetml/2006/main" count="40" uniqueCount="18">
  <si>
    <t>scenariusze</t>
  </si>
  <si>
    <t>koszty(tys. zl)</t>
  </si>
  <si>
    <t>wplywy (tys. zl)</t>
  </si>
  <si>
    <t>koszt budynku tys</t>
  </si>
  <si>
    <t>koszty stale tys</t>
  </si>
  <si>
    <t>laplace</t>
  </si>
  <si>
    <t>max</t>
  </si>
  <si>
    <t>min</t>
  </si>
  <si>
    <t>alfa</t>
  </si>
  <si>
    <t>hurvitz</t>
  </si>
  <si>
    <t>y*</t>
  </si>
  <si>
    <t>regret</t>
  </si>
  <si>
    <t xml:space="preserve">optymistyczne </t>
  </si>
  <si>
    <t>pesymistyczne</t>
  </si>
  <si>
    <t>suma</t>
  </si>
  <si>
    <t>srednia</t>
  </si>
  <si>
    <t>maks</t>
  </si>
  <si>
    <t>stale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</si>
</sst>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5" xfId="0" applyFill="1" applyBorder="1"/>
    <xf numFmtId="0" fontId="0" fillId="0" borderId="6" xfId="0" applyBorder="1"/>
    <xf numFmtId="0" fontId="0" fillId="3" borderId="7" xfId="0" applyFill="1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0" borderId="5" xfId="0" applyBorder="1"/>
    <xf numFmtId="0" fontId="0" fillId="0" borderId="7" xfId="0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1" xfId="0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3" xfId="0" applyFill="1" applyBorder="1"/>
    <xf numFmtId="0" fontId="0" fillId="2" borderId="15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11" xfId="0" applyFill="1" applyBorder="1"/>
    <xf numFmtId="0" fontId="0" fillId="4" borderId="16" xfId="0" applyFill="1" applyBorder="1"/>
    <xf numFmtId="0" fontId="0" fillId="4" borderId="17" xfId="0" applyFill="1" applyBorder="1"/>
    <xf numFmtId="0" fontId="0" fillId="0" borderId="0" xfId="0" applyBorder="1"/>
    <xf numFmtId="0" fontId="0" fillId="4" borderId="18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B49C-7241-144D-B9F5-94CCCCB3B19B}">
  <dimension ref="A1:N26"/>
  <sheetViews>
    <sheetView zoomScale="89" workbookViewId="0">
      <selection activeCell="N5" sqref="N5"/>
    </sheetView>
  </sheetViews>
  <sheetFormatPr baseColWidth="10" defaultRowHeight="16" x14ac:dyDescent="0.2"/>
  <cols>
    <col min="1" max="1" width="16.33203125" bestFit="1" customWidth="1"/>
    <col min="2" max="2" width="13.83203125" bestFit="1" customWidth="1"/>
    <col min="5" max="5" width="13.83203125" bestFit="1" customWidth="1"/>
    <col min="14" max="14" width="13.33203125" bestFit="1" customWidth="1"/>
    <col min="15" max="15" width="13" bestFit="1" customWidth="1"/>
    <col min="16" max="16" width="14" bestFit="1" customWidth="1"/>
    <col min="17" max="17" width="13.5" bestFit="1" customWidth="1"/>
  </cols>
  <sheetData>
    <row r="1" spans="1:14" ht="17" thickBot="1" x14ac:dyDescent="0.25">
      <c r="A1" s="23" t="s">
        <v>3</v>
      </c>
      <c r="B1">
        <v>15</v>
      </c>
      <c r="C1" s="19" t="s">
        <v>17</v>
      </c>
      <c r="E1" s="6" t="s">
        <v>0</v>
      </c>
      <c r="F1" s="25">
        <v>0</v>
      </c>
      <c r="G1" s="26">
        <v>10</v>
      </c>
      <c r="H1" s="26">
        <v>20</v>
      </c>
      <c r="I1" s="26">
        <v>30</v>
      </c>
      <c r="J1" s="26">
        <v>40</v>
      </c>
      <c r="K1" s="27">
        <v>50</v>
      </c>
      <c r="M1" s="6" t="s">
        <v>5</v>
      </c>
    </row>
    <row r="2" spans="1:14" ht="17" thickBot="1" x14ac:dyDescent="0.25">
      <c r="A2" s="24" t="s">
        <v>4</v>
      </c>
      <c r="B2">
        <v>40</v>
      </c>
      <c r="C2" s="16">
        <v>20</v>
      </c>
      <c r="E2" s="6" t="s">
        <v>1</v>
      </c>
      <c r="F2">
        <v>0</v>
      </c>
      <c r="G2">
        <v>12</v>
      </c>
      <c r="H2">
        <v>24</v>
      </c>
      <c r="I2">
        <v>36</v>
      </c>
      <c r="J2">
        <v>48</v>
      </c>
      <c r="K2" s="2">
        <v>60</v>
      </c>
      <c r="M2" s="6" t="s">
        <v>14</v>
      </c>
      <c r="N2" s="10" t="s">
        <v>15</v>
      </c>
    </row>
    <row r="3" spans="1:14" ht="17" thickBot="1" x14ac:dyDescent="0.25">
      <c r="B3">
        <v>60</v>
      </c>
      <c r="C3" s="17">
        <v>30</v>
      </c>
      <c r="E3" s="24" t="s">
        <v>2</v>
      </c>
      <c r="F3" s="4">
        <v>0</v>
      </c>
      <c r="G3" s="4">
        <v>73</v>
      </c>
      <c r="H3" s="4">
        <v>146</v>
      </c>
      <c r="I3" s="4">
        <v>219</v>
      </c>
      <c r="J3" s="4">
        <v>292</v>
      </c>
      <c r="K3" s="5">
        <v>365</v>
      </c>
      <c r="M3" s="7">
        <f>SUM(F7:K7)</f>
        <v>219</v>
      </c>
      <c r="N3" s="2">
        <f>INT(AVERAGE(F7:K7))</f>
        <v>36</v>
      </c>
    </row>
    <row r="4" spans="1:14" x14ac:dyDescent="0.2">
      <c r="B4">
        <v>80</v>
      </c>
      <c r="C4" s="17">
        <v>40</v>
      </c>
      <c r="M4" s="7">
        <f>SUM(F8:K8)</f>
        <v>282</v>
      </c>
      <c r="N4" s="2">
        <f>INT(AVERAGE(F8:K8))</f>
        <v>47</v>
      </c>
    </row>
    <row r="5" spans="1:14" ht="17" thickBot="1" x14ac:dyDescent="0.25">
      <c r="B5">
        <v>100</v>
      </c>
      <c r="C5" s="18">
        <v>50</v>
      </c>
      <c r="M5" s="7">
        <f>SUM(F9:K9)</f>
        <v>284</v>
      </c>
      <c r="N5" s="2">
        <f>INT(AVERAGE(F9:K9))</f>
        <v>47</v>
      </c>
    </row>
    <row r="6" spans="1:14" ht="17" thickBot="1" x14ac:dyDescent="0.25">
      <c r="E6" s="6" t="s">
        <v>0</v>
      </c>
      <c r="F6" s="25">
        <v>0</v>
      </c>
      <c r="G6" s="26">
        <v>10</v>
      </c>
      <c r="H6" s="26">
        <v>20</v>
      </c>
      <c r="I6" s="26">
        <v>30</v>
      </c>
      <c r="J6" s="26">
        <v>40</v>
      </c>
      <c r="K6" s="27">
        <v>50</v>
      </c>
      <c r="M6" s="8">
        <f>SUM(F10:K10)</f>
        <v>225</v>
      </c>
      <c r="N6" s="5">
        <f>INT(AVERAGE(F10:K10))</f>
        <v>37</v>
      </c>
    </row>
    <row r="7" spans="1:14" x14ac:dyDescent="0.2">
      <c r="E7" s="17">
        <v>20</v>
      </c>
      <c r="F7">
        <f>0 -(B2+$B$1)</f>
        <v>-55</v>
      </c>
      <c r="G7">
        <f>0 -($B$1+B2+$G$2)+$G$3</f>
        <v>6</v>
      </c>
      <c r="H7">
        <f>0 -($B$1+B2+$H$2)+$H$3</f>
        <v>67</v>
      </c>
      <c r="I7">
        <f>H7</f>
        <v>67</v>
      </c>
      <c r="J7">
        <f t="shared" ref="J7:K7" si="0">I7</f>
        <v>67</v>
      </c>
      <c r="K7" s="2">
        <f t="shared" si="0"/>
        <v>67</v>
      </c>
    </row>
    <row r="8" spans="1:14" ht="17" thickBot="1" x14ac:dyDescent="0.25">
      <c r="E8" s="17">
        <v>30</v>
      </c>
      <c r="F8">
        <f t="shared" ref="F8:F10" si="1">0 -(B3+$B$1)</f>
        <v>-75</v>
      </c>
      <c r="G8">
        <f>0 -($B$1+B3+$G$2)+$G$3</f>
        <v>-14</v>
      </c>
      <c r="H8">
        <f t="shared" ref="H8:H10" si="2">0 -($B$1+B3+$H$2)+$H$3</f>
        <v>47</v>
      </c>
      <c r="I8">
        <f t="shared" ref="I8:I10" si="3">0 -($B$1+B3+$I$2)+$I$3</f>
        <v>108</v>
      </c>
      <c r="J8">
        <f>I8</f>
        <v>108</v>
      </c>
      <c r="K8" s="2">
        <f>J8</f>
        <v>108</v>
      </c>
    </row>
    <row r="9" spans="1:14" ht="17" thickBot="1" x14ac:dyDescent="0.25">
      <c r="E9" s="17">
        <v>40</v>
      </c>
      <c r="F9">
        <f t="shared" si="1"/>
        <v>-95</v>
      </c>
      <c r="G9">
        <f t="shared" ref="G9:G10" si="4">0 -($B$1+B4+$G$2)+$G$3</f>
        <v>-34</v>
      </c>
      <c r="H9">
        <f t="shared" si="2"/>
        <v>27</v>
      </c>
      <c r="I9">
        <f t="shared" si="3"/>
        <v>88</v>
      </c>
      <c r="J9">
        <f t="shared" ref="J9:J10" si="5">0 -($B$1+B4+$J$2)+$J$3</f>
        <v>149</v>
      </c>
      <c r="K9" s="2">
        <f>J9</f>
        <v>149</v>
      </c>
      <c r="M9" s="9" t="s">
        <v>12</v>
      </c>
      <c r="N9" s="10" t="s">
        <v>13</v>
      </c>
    </row>
    <row r="10" spans="1:14" ht="17" thickBot="1" x14ac:dyDescent="0.25">
      <c r="E10" s="18">
        <v>50</v>
      </c>
      <c r="F10" s="4">
        <f t="shared" si="1"/>
        <v>-115</v>
      </c>
      <c r="G10" s="4">
        <f t="shared" si="4"/>
        <v>-54</v>
      </c>
      <c r="H10" s="4">
        <f t="shared" si="2"/>
        <v>7</v>
      </c>
      <c r="I10" s="4">
        <f t="shared" si="3"/>
        <v>68</v>
      </c>
      <c r="J10" s="4">
        <f t="shared" si="5"/>
        <v>129</v>
      </c>
      <c r="K10" s="5">
        <f>0 -($B$1+B5+$K$2)+$K$3</f>
        <v>190</v>
      </c>
      <c r="M10" s="6" t="s">
        <v>6</v>
      </c>
      <c r="N10" s="10" t="s">
        <v>7</v>
      </c>
    </row>
    <row r="11" spans="1:14" x14ac:dyDescent="0.2">
      <c r="M11" s="7">
        <f>MAX(F7:K7)</f>
        <v>67</v>
      </c>
      <c r="N11" s="2">
        <f>MIN(F7:K7)</f>
        <v>-55</v>
      </c>
    </row>
    <row r="12" spans="1:14" ht="17" thickBot="1" x14ac:dyDescent="0.25">
      <c r="M12" s="7">
        <f>MAX(F8:K8)</f>
        <v>108</v>
      </c>
      <c r="N12" s="2">
        <f>MIN(F8:K8)</f>
        <v>-75</v>
      </c>
    </row>
    <row r="13" spans="1:14" ht="17" thickBot="1" x14ac:dyDescent="0.25">
      <c r="E13" s="6" t="s">
        <v>9</v>
      </c>
      <c r="M13" s="7">
        <f>MAX(F9:K9)</f>
        <v>149</v>
      </c>
      <c r="N13" s="2">
        <f>MIN(F9:K9)</f>
        <v>-95</v>
      </c>
    </row>
    <row r="14" spans="1:14" ht="17" thickBot="1" x14ac:dyDescent="0.25">
      <c r="E14" s="6" t="s">
        <v>8</v>
      </c>
      <c r="F14" s="25">
        <v>0</v>
      </c>
      <c r="G14" s="26">
        <v>0.2</v>
      </c>
      <c r="H14" s="26">
        <v>0.4</v>
      </c>
      <c r="I14" s="26">
        <v>0.6</v>
      </c>
      <c r="J14" s="26">
        <v>0.8</v>
      </c>
      <c r="K14" s="27">
        <v>1</v>
      </c>
      <c r="M14" s="8">
        <f>MAX(F10:K10)</f>
        <v>190</v>
      </c>
      <c r="N14" s="5">
        <f>MIN(F10:K10)</f>
        <v>-115</v>
      </c>
    </row>
    <row r="15" spans="1:14" x14ac:dyDescent="0.2">
      <c r="E15" s="16">
        <v>20</v>
      </c>
      <c r="F15">
        <f t="shared" ref="F15:K15" si="6">F14*$M11+(1-F14)*$N11</f>
        <v>-55</v>
      </c>
      <c r="G15">
        <f t="shared" si="6"/>
        <v>-30.6</v>
      </c>
      <c r="H15">
        <f t="shared" si="6"/>
        <v>-6.1999999999999993</v>
      </c>
      <c r="I15">
        <f t="shared" si="6"/>
        <v>18.199999999999996</v>
      </c>
      <c r="J15">
        <f t="shared" si="6"/>
        <v>42.6</v>
      </c>
      <c r="K15" s="2">
        <f t="shared" si="6"/>
        <v>67</v>
      </c>
    </row>
    <row r="16" spans="1:14" x14ac:dyDescent="0.2">
      <c r="E16" s="17">
        <v>30</v>
      </c>
      <c r="F16">
        <f t="shared" ref="F16:K16" si="7">F14*$M12+(1-F14)*$N12</f>
        <v>-75</v>
      </c>
      <c r="G16">
        <f t="shared" si="7"/>
        <v>-38.4</v>
      </c>
      <c r="H16">
        <f t="shared" si="7"/>
        <v>-1.7999999999999972</v>
      </c>
      <c r="I16">
        <f t="shared" si="7"/>
        <v>34.799999999999997</v>
      </c>
      <c r="J16">
        <f t="shared" si="7"/>
        <v>71.400000000000006</v>
      </c>
      <c r="K16" s="2">
        <f t="shared" si="7"/>
        <v>108</v>
      </c>
    </row>
    <row r="17" spans="5:12" x14ac:dyDescent="0.2">
      <c r="E17" s="17">
        <v>40</v>
      </c>
      <c r="F17">
        <f t="shared" ref="F17:K17" si="8">F14*$M13+(1-F14)*$N13</f>
        <v>-95</v>
      </c>
      <c r="G17">
        <f t="shared" si="8"/>
        <v>-46.2</v>
      </c>
      <c r="H17">
        <f t="shared" si="8"/>
        <v>2.6000000000000014</v>
      </c>
      <c r="I17">
        <f t="shared" si="8"/>
        <v>51.399999999999991</v>
      </c>
      <c r="J17">
        <f t="shared" si="8"/>
        <v>100.2</v>
      </c>
      <c r="K17" s="2">
        <f t="shared" si="8"/>
        <v>149</v>
      </c>
    </row>
    <row r="18" spans="5:12" ht="17" thickBot="1" x14ac:dyDescent="0.25">
      <c r="E18" s="18">
        <v>50</v>
      </c>
      <c r="F18" s="4">
        <f t="shared" ref="F18:K18" si="9">F14*$M14+(1-F14)*$N14</f>
        <v>-115</v>
      </c>
      <c r="G18" s="4">
        <f t="shared" si="9"/>
        <v>-54</v>
      </c>
      <c r="H18" s="4">
        <f t="shared" si="9"/>
        <v>7</v>
      </c>
      <c r="I18" s="4">
        <f t="shared" si="9"/>
        <v>68</v>
      </c>
      <c r="J18" s="4">
        <f t="shared" si="9"/>
        <v>129</v>
      </c>
      <c r="K18" s="5">
        <f t="shared" si="9"/>
        <v>190</v>
      </c>
    </row>
    <row r="19" spans="5:12" ht="17" thickBot="1" x14ac:dyDescent="0.25">
      <c r="E19" s="6" t="s">
        <v>16</v>
      </c>
      <c r="F19" s="11">
        <f t="shared" ref="F19:K19" si="10">MAX(F15:F18)</f>
        <v>-55</v>
      </c>
      <c r="G19" s="11">
        <f t="shared" si="10"/>
        <v>-30.6</v>
      </c>
      <c r="H19" s="11">
        <f t="shared" si="10"/>
        <v>7</v>
      </c>
      <c r="I19" s="11">
        <f t="shared" si="10"/>
        <v>68</v>
      </c>
      <c r="J19" s="11">
        <f t="shared" si="10"/>
        <v>129</v>
      </c>
      <c r="K19" s="12">
        <f t="shared" si="10"/>
        <v>190</v>
      </c>
    </row>
    <row r="21" spans="5:12" ht="17" thickBot="1" x14ac:dyDescent="0.25"/>
    <row r="22" spans="5:12" ht="17" thickBot="1" x14ac:dyDescent="0.25">
      <c r="E22" s="6" t="s">
        <v>10</v>
      </c>
      <c r="F22" s="11">
        <f t="shared" ref="F22:K22" si="11">MAX(F7:F10)</f>
        <v>-55</v>
      </c>
      <c r="G22" s="11">
        <f t="shared" si="11"/>
        <v>6</v>
      </c>
      <c r="H22" s="11">
        <f t="shared" si="11"/>
        <v>67</v>
      </c>
      <c r="I22" s="11">
        <f t="shared" si="11"/>
        <v>108</v>
      </c>
      <c r="J22" s="11">
        <f t="shared" si="11"/>
        <v>149</v>
      </c>
      <c r="K22" s="12">
        <f t="shared" si="11"/>
        <v>190</v>
      </c>
      <c r="L22" s="6" t="s">
        <v>6</v>
      </c>
    </row>
    <row r="23" spans="5:12" ht="17" thickBot="1" x14ac:dyDescent="0.25">
      <c r="E23" s="6" t="s">
        <v>11</v>
      </c>
      <c r="F23" s="13">
        <f t="shared" ref="F23:K23" si="12">F22-F$7</f>
        <v>0</v>
      </c>
      <c r="G23" s="14">
        <f t="shared" si="12"/>
        <v>0</v>
      </c>
      <c r="H23" s="14">
        <f t="shared" si="12"/>
        <v>0</v>
      </c>
      <c r="I23" s="14">
        <f t="shared" si="12"/>
        <v>41</v>
      </c>
      <c r="J23" s="14">
        <f t="shared" si="12"/>
        <v>82</v>
      </c>
      <c r="K23" s="14">
        <f t="shared" si="12"/>
        <v>123</v>
      </c>
      <c r="L23" s="20">
        <f>MAX(F23:K23)</f>
        <v>123</v>
      </c>
    </row>
    <row r="24" spans="5:12" x14ac:dyDescent="0.2">
      <c r="F24" s="1">
        <f t="shared" ref="F24:K26" si="13">F$22-F8</f>
        <v>20</v>
      </c>
      <c r="G24">
        <f t="shared" si="13"/>
        <v>20</v>
      </c>
      <c r="H24">
        <f t="shared" si="13"/>
        <v>20</v>
      </c>
      <c r="I24">
        <f t="shared" si="13"/>
        <v>0</v>
      </c>
      <c r="J24">
        <f t="shared" si="13"/>
        <v>41</v>
      </c>
      <c r="K24">
        <f t="shared" si="13"/>
        <v>82</v>
      </c>
      <c r="L24" s="21">
        <f t="shared" ref="L24:L26" si="14">MAX(F24:K24)</f>
        <v>82</v>
      </c>
    </row>
    <row r="25" spans="5:12" x14ac:dyDescent="0.2">
      <c r="F25" s="1">
        <f t="shared" si="13"/>
        <v>40</v>
      </c>
      <c r="G25">
        <f t="shared" si="13"/>
        <v>40</v>
      </c>
      <c r="H25">
        <f t="shared" si="13"/>
        <v>40</v>
      </c>
      <c r="I25">
        <f t="shared" si="13"/>
        <v>20</v>
      </c>
      <c r="J25">
        <f t="shared" si="13"/>
        <v>0</v>
      </c>
      <c r="K25">
        <f t="shared" si="13"/>
        <v>41</v>
      </c>
      <c r="L25" s="21">
        <f t="shared" si="14"/>
        <v>41</v>
      </c>
    </row>
    <row r="26" spans="5:12" ht="17" thickBot="1" x14ac:dyDescent="0.25">
      <c r="F26" s="3">
        <f t="shared" si="13"/>
        <v>60</v>
      </c>
      <c r="G26" s="4">
        <f t="shared" si="13"/>
        <v>60</v>
      </c>
      <c r="H26" s="4">
        <f t="shared" si="13"/>
        <v>60</v>
      </c>
      <c r="I26" s="4">
        <f t="shared" si="13"/>
        <v>40</v>
      </c>
      <c r="J26" s="4">
        <f t="shared" si="13"/>
        <v>20</v>
      </c>
      <c r="K26" s="4">
        <f t="shared" si="13"/>
        <v>0</v>
      </c>
      <c r="L26" s="22">
        <f t="shared" si="14"/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4A83-3A3A-4F4C-AB78-482380428769}">
  <dimension ref="A1:N26"/>
  <sheetViews>
    <sheetView tabSelected="1" workbookViewId="0">
      <selection activeCell="I10" sqref="I10"/>
    </sheetView>
  </sheetViews>
  <sheetFormatPr baseColWidth="10" defaultRowHeight="16" x14ac:dyDescent="0.2"/>
  <cols>
    <col min="1" max="1" width="15.33203125" bestFit="1" customWidth="1"/>
    <col min="5" max="5" width="13.83203125" bestFit="1" customWidth="1"/>
    <col min="13" max="13" width="13.33203125" bestFit="1" customWidth="1"/>
    <col min="14" max="14" width="13" customWidth="1"/>
  </cols>
  <sheetData>
    <row r="1" spans="1:14" ht="17" thickBot="1" x14ac:dyDescent="0.25">
      <c r="A1" s="23" t="s">
        <v>3</v>
      </c>
      <c r="B1">
        <v>16</v>
      </c>
      <c r="C1" s="19" t="s">
        <v>17</v>
      </c>
      <c r="E1" s="6" t="s">
        <v>0</v>
      </c>
      <c r="F1" s="25">
        <v>0</v>
      </c>
      <c r="G1" s="26">
        <v>12</v>
      </c>
      <c r="H1" s="26">
        <v>24</v>
      </c>
      <c r="I1" s="26">
        <v>36</v>
      </c>
      <c r="J1" s="26">
        <v>48</v>
      </c>
      <c r="K1" s="27">
        <v>60</v>
      </c>
      <c r="M1" s="6" t="s">
        <v>5</v>
      </c>
    </row>
    <row r="2" spans="1:14" ht="17" thickBot="1" x14ac:dyDescent="0.25">
      <c r="A2" s="24" t="s">
        <v>4</v>
      </c>
      <c r="B2">
        <v>45</v>
      </c>
      <c r="C2" s="16">
        <v>24</v>
      </c>
      <c r="E2" s="6" t="s">
        <v>1</v>
      </c>
      <c r="F2">
        <v>0</v>
      </c>
      <c r="G2">
        <v>30</v>
      </c>
      <c r="H2">
        <v>58</v>
      </c>
      <c r="I2">
        <v>84</v>
      </c>
      <c r="J2">
        <v>110</v>
      </c>
      <c r="K2" s="2">
        <v>135</v>
      </c>
      <c r="M2" s="6" t="s">
        <v>14</v>
      </c>
      <c r="N2" s="10" t="s">
        <v>15</v>
      </c>
    </row>
    <row r="3" spans="1:14" ht="17" thickBot="1" x14ac:dyDescent="0.25">
      <c r="B3">
        <v>65</v>
      </c>
      <c r="C3" s="17">
        <v>36</v>
      </c>
      <c r="E3" s="24" t="s">
        <v>2</v>
      </c>
      <c r="F3" s="4">
        <v>0</v>
      </c>
      <c r="G3" s="4">
        <v>73</v>
      </c>
      <c r="H3" s="4">
        <v>146</v>
      </c>
      <c r="I3" s="4">
        <v>219</v>
      </c>
      <c r="J3" s="4">
        <v>292</v>
      </c>
      <c r="K3" s="5">
        <v>365</v>
      </c>
      <c r="M3" s="20">
        <f>SUM(F7:K7)</f>
        <v>29</v>
      </c>
      <c r="N3" s="2">
        <f>AVERAGE(F7:K7)</f>
        <v>4.833333333333333</v>
      </c>
    </row>
    <row r="4" spans="1:14" x14ac:dyDescent="0.2">
      <c r="B4">
        <v>75</v>
      </c>
      <c r="C4" s="17">
        <v>48</v>
      </c>
      <c r="M4" s="21">
        <f>SUM(F8:K8)</f>
        <v>50</v>
      </c>
      <c r="N4" s="2">
        <f>AVERAGE(F8:K8)</f>
        <v>8.3333333333333339</v>
      </c>
    </row>
    <row r="5" spans="1:14" ht="17" thickBot="1" x14ac:dyDescent="0.25">
      <c r="B5">
        <v>85</v>
      </c>
      <c r="C5" s="18">
        <v>60</v>
      </c>
      <c r="M5" s="21">
        <f>SUM(F9:K9)</f>
        <v>84</v>
      </c>
      <c r="N5" s="2">
        <f>AVERAGE(F9:K9)</f>
        <v>14</v>
      </c>
    </row>
    <row r="6" spans="1:14" ht="17" thickBot="1" x14ac:dyDescent="0.25">
      <c r="E6" s="6" t="s">
        <v>0</v>
      </c>
      <c r="F6" s="25">
        <v>0</v>
      </c>
      <c r="G6" s="26">
        <v>12</v>
      </c>
      <c r="H6" s="26">
        <v>24</v>
      </c>
      <c r="I6" s="26">
        <v>36</v>
      </c>
      <c r="J6" s="26">
        <v>48</v>
      </c>
      <c r="K6" s="27">
        <v>60</v>
      </c>
      <c r="M6" s="22">
        <f>SUM(F10:K10)</f>
        <v>72</v>
      </c>
      <c r="N6" s="5">
        <f>AVERAGE(F10:K10)</f>
        <v>12</v>
      </c>
    </row>
    <row r="7" spans="1:14" ht="17" thickBot="1" x14ac:dyDescent="0.25">
      <c r="E7" s="19">
        <v>24</v>
      </c>
      <c r="F7">
        <f>0 -(B2+$B$1)</f>
        <v>-61</v>
      </c>
      <c r="G7">
        <f>0 -($B$1+B2+$G$2)+$G$3</f>
        <v>-18</v>
      </c>
      <c r="H7">
        <f>0 -($B$1+B2+$H$2)+$H$3</f>
        <v>27</v>
      </c>
      <c r="I7">
        <f>H7</f>
        <v>27</v>
      </c>
      <c r="J7">
        <f t="shared" ref="J7:K7" si="0">I7</f>
        <v>27</v>
      </c>
      <c r="K7" s="2">
        <f t="shared" si="0"/>
        <v>27</v>
      </c>
    </row>
    <row r="8" spans="1:14" ht="17" thickBot="1" x14ac:dyDescent="0.25">
      <c r="E8" s="19">
        <v>36</v>
      </c>
      <c r="F8">
        <f t="shared" ref="F8:F10" si="1">0 -(B3+$B$1)</f>
        <v>-81</v>
      </c>
      <c r="G8">
        <f>0 -($B$1+B3+$G$2)+$G$3</f>
        <v>-38</v>
      </c>
      <c r="H8">
        <f t="shared" ref="H8:H10" si="2">0 -($B$1+B3+$H$2)+$H$3</f>
        <v>7</v>
      </c>
      <c r="I8">
        <f t="shared" ref="I8:I10" si="3">0 -($B$1+B3+$I$2)+$I$3</f>
        <v>54</v>
      </c>
      <c r="J8">
        <f>I8</f>
        <v>54</v>
      </c>
      <c r="K8" s="2">
        <f>J8</f>
        <v>54</v>
      </c>
    </row>
    <row r="9" spans="1:14" ht="17" thickBot="1" x14ac:dyDescent="0.25">
      <c r="E9" s="19">
        <v>48</v>
      </c>
      <c r="F9">
        <f t="shared" si="1"/>
        <v>-91</v>
      </c>
      <c r="G9">
        <f t="shared" ref="G9:G10" si="4">0 -($B$1+B4+$G$2)+$G$3</f>
        <v>-48</v>
      </c>
      <c r="H9">
        <f t="shared" si="2"/>
        <v>-3</v>
      </c>
      <c r="I9">
        <f>0 -($B$1+B4+$I$2)+$I$3</f>
        <v>44</v>
      </c>
      <c r="J9">
        <f t="shared" ref="J9:J10" si="5">0 -($B$1+B4+$J$2)+$J$3</f>
        <v>91</v>
      </c>
      <c r="K9" s="2">
        <f>J9</f>
        <v>91</v>
      </c>
      <c r="M9" s="9" t="s">
        <v>12</v>
      </c>
      <c r="N9" s="10" t="s">
        <v>13</v>
      </c>
    </row>
    <row r="10" spans="1:14" ht="17" thickBot="1" x14ac:dyDescent="0.25">
      <c r="E10" s="18">
        <v>60</v>
      </c>
      <c r="F10" s="4">
        <f t="shared" si="1"/>
        <v>-101</v>
      </c>
      <c r="G10" s="4">
        <f t="shared" si="4"/>
        <v>-58</v>
      </c>
      <c r="H10" s="4">
        <f t="shared" si="2"/>
        <v>-13</v>
      </c>
      <c r="I10" s="4">
        <f t="shared" si="3"/>
        <v>34</v>
      </c>
      <c r="J10" s="4">
        <f t="shared" si="5"/>
        <v>81</v>
      </c>
      <c r="K10" s="5">
        <f>0 -($B$1+B5+$K$2)+$K$3</f>
        <v>129</v>
      </c>
      <c r="M10" s="6" t="s">
        <v>6</v>
      </c>
      <c r="N10" s="10" t="s">
        <v>7</v>
      </c>
    </row>
    <row r="11" spans="1:14" x14ac:dyDescent="0.2">
      <c r="M11" s="7">
        <f>MAX(F7:K7)</f>
        <v>27</v>
      </c>
      <c r="N11" s="2">
        <f>MIN(F7:K7)</f>
        <v>-61</v>
      </c>
    </row>
    <row r="12" spans="1:14" ht="17" thickBot="1" x14ac:dyDescent="0.25">
      <c r="M12" s="7">
        <f>MAX(F8:K8)</f>
        <v>54</v>
      </c>
      <c r="N12" s="2">
        <f>MIN(F8:K8)</f>
        <v>-81</v>
      </c>
    </row>
    <row r="13" spans="1:14" ht="17" thickBot="1" x14ac:dyDescent="0.25">
      <c r="E13" s="6" t="s">
        <v>9</v>
      </c>
      <c r="M13" s="7">
        <f>MAX(F9:K9)</f>
        <v>91</v>
      </c>
      <c r="N13" s="2">
        <f>MIN(F9:K9)</f>
        <v>-91</v>
      </c>
    </row>
    <row r="14" spans="1:14" ht="17" thickBot="1" x14ac:dyDescent="0.25">
      <c r="E14" s="6" t="s">
        <v>8</v>
      </c>
      <c r="F14" s="25">
        <v>0</v>
      </c>
      <c r="G14" s="26">
        <v>0.2</v>
      </c>
      <c r="H14" s="26">
        <v>0.4</v>
      </c>
      <c r="I14" s="26">
        <v>0.6</v>
      </c>
      <c r="J14" s="26">
        <v>0.8</v>
      </c>
      <c r="K14" s="27">
        <v>1</v>
      </c>
      <c r="M14" s="8">
        <f>MAX(F10:K10)</f>
        <v>129</v>
      </c>
      <c r="N14" s="5">
        <f>MIN(F10:K10)</f>
        <v>-101</v>
      </c>
    </row>
    <row r="15" spans="1:14" ht="17" thickBot="1" x14ac:dyDescent="0.25">
      <c r="E15" s="19">
        <v>24</v>
      </c>
      <c r="F15">
        <f t="shared" ref="F15:K15" si="6">F14*$M11+(1-F14)*$N11</f>
        <v>-61</v>
      </c>
      <c r="G15">
        <f t="shared" si="6"/>
        <v>-43.400000000000006</v>
      </c>
      <c r="H15">
        <f t="shared" si="6"/>
        <v>-25.8</v>
      </c>
      <c r="I15">
        <f t="shared" si="6"/>
        <v>-8.2000000000000028</v>
      </c>
      <c r="J15">
        <f t="shared" si="6"/>
        <v>9.4000000000000039</v>
      </c>
      <c r="K15" s="2">
        <f t="shared" si="6"/>
        <v>27</v>
      </c>
    </row>
    <row r="16" spans="1:14" ht="17" thickBot="1" x14ac:dyDescent="0.25">
      <c r="E16" s="19">
        <v>36</v>
      </c>
      <c r="F16">
        <f t="shared" ref="F16:K16" si="7">F14*$M12+(1-F14)*$N12</f>
        <v>-81</v>
      </c>
      <c r="G16">
        <f t="shared" si="7"/>
        <v>-54</v>
      </c>
      <c r="H16">
        <f t="shared" si="7"/>
        <v>-27</v>
      </c>
      <c r="I16">
        <f t="shared" si="7"/>
        <v>0</v>
      </c>
      <c r="J16">
        <f t="shared" si="7"/>
        <v>27.000000000000007</v>
      </c>
      <c r="K16" s="2">
        <f t="shared" si="7"/>
        <v>54</v>
      </c>
    </row>
    <row r="17" spans="5:12" ht="17" thickBot="1" x14ac:dyDescent="0.25">
      <c r="E17" s="19">
        <v>48</v>
      </c>
      <c r="F17">
        <f t="shared" ref="F17:K17" si="8">F14*$M13+(1-F14)*$N13</f>
        <v>-91</v>
      </c>
      <c r="G17">
        <f t="shared" si="8"/>
        <v>-54.599999999999994</v>
      </c>
      <c r="H17">
        <f t="shared" si="8"/>
        <v>-18.200000000000003</v>
      </c>
      <c r="I17">
        <f t="shared" si="8"/>
        <v>18.200000000000003</v>
      </c>
      <c r="J17">
        <f t="shared" si="8"/>
        <v>54.6</v>
      </c>
      <c r="K17" s="2">
        <f t="shared" si="8"/>
        <v>91</v>
      </c>
    </row>
    <row r="18" spans="5:12" ht="17" thickBot="1" x14ac:dyDescent="0.25">
      <c r="E18" s="18">
        <v>60</v>
      </c>
      <c r="F18" s="4">
        <f t="shared" ref="F18:K18" si="9">F14*$M14+(1-F14)*$N14</f>
        <v>-101</v>
      </c>
      <c r="G18" s="4">
        <f t="shared" si="9"/>
        <v>-55.000000000000014</v>
      </c>
      <c r="H18" s="4">
        <f t="shared" si="9"/>
        <v>-8.9999999999999929</v>
      </c>
      <c r="I18" s="4">
        <f t="shared" si="9"/>
        <v>36.999999999999986</v>
      </c>
      <c r="J18" s="4">
        <f t="shared" si="9"/>
        <v>83</v>
      </c>
      <c r="K18" s="5">
        <f t="shared" si="9"/>
        <v>129</v>
      </c>
    </row>
    <row r="19" spans="5:12" ht="17" thickBot="1" x14ac:dyDescent="0.25">
      <c r="E19" s="6" t="s">
        <v>16</v>
      </c>
      <c r="F19" s="11">
        <f t="shared" ref="F19:K19" si="10">MAX(F15:F18)</f>
        <v>-61</v>
      </c>
      <c r="G19" s="11">
        <f t="shared" si="10"/>
        <v>-43.400000000000006</v>
      </c>
      <c r="H19" s="11">
        <f t="shared" si="10"/>
        <v>-8.9999999999999929</v>
      </c>
      <c r="I19" s="11">
        <f t="shared" si="10"/>
        <v>36.999999999999986</v>
      </c>
      <c r="J19" s="11">
        <f t="shared" si="10"/>
        <v>83</v>
      </c>
      <c r="K19" s="12">
        <f t="shared" si="10"/>
        <v>129</v>
      </c>
    </row>
    <row r="21" spans="5:12" ht="17" thickBot="1" x14ac:dyDescent="0.25"/>
    <row r="22" spans="5:12" ht="17" thickBot="1" x14ac:dyDescent="0.25">
      <c r="E22" s="6" t="s">
        <v>10</v>
      </c>
      <c r="F22" s="14">
        <f t="shared" ref="F22:K22" si="11">MAX(F7:F10)</f>
        <v>-61</v>
      </c>
      <c r="G22" s="14">
        <f t="shared" si="11"/>
        <v>-18</v>
      </c>
      <c r="H22" s="14">
        <f t="shared" si="11"/>
        <v>27</v>
      </c>
      <c r="I22" s="14">
        <f t="shared" si="11"/>
        <v>54</v>
      </c>
      <c r="J22" s="14">
        <f t="shared" si="11"/>
        <v>91</v>
      </c>
      <c r="K22" s="15">
        <f t="shared" si="11"/>
        <v>129</v>
      </c>
      <c r="L22" s="6" t="s">
        <v>6</v>
      </c>
    </row>
    <row r="23" spans="5:12" ht="17" thickBot="1" x14ac:dyDescent="0.25">
      <c r="E23" s="9" t="s">
        <v>11</v>
      </c>
      <c r="F23" s="28">
        <f t="shared" ref="F23:K23" si="12">F22-F$7</f>
        <v>0</v>
      </c>
      <c r="G23" s="14">
        <f t="shared" si="12"/>
        <v>0</v>
      </c>
      <c r="H23" s="14">
        <f t="shared" si="12"/>
        <v>0</v>
      </c>
      <c r="I23" s="14">
        <f t="shared" si="12"/>
        <v>27</v>
      </c>
      <c r="J23" s="14">
        <f t="shared" si="12"/>
        <v>64</v>
      </c>
      <c r="K23" s="15">
        <f t="shared" si="12"/>
        <v>102</v>
      </c>
      <c r="L23" s="20">
        <f>MAX(F23:K23)</f>
        <v>102</v>
      </c>
    </row>
    <row r="24" spans="5:12" x14ac:dyDescent="0.2">
      <c r="F24" s="29">
        <f t="shared" ref="F24:K26" si="13">F$22-F8</f>
        <v>20</v>
      </c>
      <c r="G24" s="30">
        <f t="shared" si="13"/>
        <v>20</v>
      </c>
      <c r="H24" s="30">
        <f t="shared" si="13"/>
        <v>20</v>
      </c>
      <c r="I24" s="30">
        <f t="shared" si="13"/>
        <v>0</v>
      </c>
      <c r="J24" s="30">
        <f t="shared" si="13"/>
        <v>37</v>
      </c>
      <c r="K24" s="2">
        <f t="shared" si="13"/>
        <v>75</v>
      </c>
      <c r="L24" s="21">
        <f t="shared" ref="L24:L26" si="14">MAX(F24:K24)</f>
        <v>75</v>
      </c>
    </row>
    <row r="25" spans="5:12" x14ac:dyDescent="0.2">
      <c r="F25" s="29">
        <f t="shared" si="13"/>
        <v>30</v>
      </c>
      <c r="G25" s="30">
        <f t="shared" si="13"/>
        <v>30</v>
      </c>
      <c r="H25" s="30">
        <f t="shared" si="13"/>
        <v>30</v>
      </c>
      <c r="I25" s="30">
        <f t="shared" si="13"/>
        <v>10</v>
      </c>
      <c r="J25" s="30">
        <f t="shared" si="13"/>
        <v>0</v>
      </c>
      <c r="K25" s="2">
        <f t="shared" si="13"/>
        <v>38</v>
      </c>
      <c r="L25" s="21">
        <f t="shared" si="14"/>
        <v>38</v>
      </c>
    </row>
    <row r="26" spans="5:12" ht="17" thickBot="1" x14ac:dyDescent="0.25">
      <c r="F26" s="31">
        <f t="shared" si="13"/>
        <v>40</v>
      </c>
      <c r="G26" s="4">
        <f t="shared" si="13"/>
        <v>40</v>
      </c>
      <c r="H26" s="4">
        <f t="shared" si="13"/>
        <v>40</v>
      </c>
      <c r="I26" s="4">
        <f t="shared" si="13"/>
        <v>20</v>
      </c>
      <c r="J26" s="4">
        <f t="shared" si="13"/>
        <v>10</v>
      </c>
      <c r="K26" s="5">
        <f t="shared" si="13"/>
        <v>0</v>
      </c>
      <c r="L26" s="22">
        <f t="shared" si="14"/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2023-04-17T15:10:03Z</dcterms:created>
  <dcterms:modified xsi:type="dcterms:W3CDTF">2023-04-25T07:11:19Z</dcterms:modified>
</cp:coreProperties>
</file>